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st Database"/>
    <sheet r:id="rId2" sheetId="2" name="MARVEL_Cost"/>
    <sheet r:id="rId3" sheetId="3" name="Design Variables"/>
    <sheet r:id="rId4" sheetId="4" name="Inflation Adjustment"/>
    <sheet r:id="rId5" sheetId="5" name="Economics Parameters"/>
    <sheet r:id="rId6" sheetId="6" name="Central Facility Database"/>
  </sheets>
  <definedNames>
    <definedName name="_xlnm._FilterDatabase" localSheetId="0">'Cost Database'!$A$1:$AB$192</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fullCalcOnLoad="1"/>
</workbook>
</file>

<file path=xl/sharedStrings.xml><?xml version="1.0" encoding="utf-8"?>
<sst xmlns="http://schemas.openxmlformats.org/spreadsheetml/2006/main" count="3991" uniqueCount="734">
  <si>
    <t>Account</t>
  </si>
  <si>
    <t>Level</t>
  </si>
  <si>
    <t>Account Name</t>
  </si>
  <si>
    <t>Account Title</t>
  </si>
  <si>
    <t>Standard Cost Equation?</t>
  </si>
  <si>
    <t>Count Scaling Variable</t>
  </si>
  <si>
    <t>Count per Variable</t>
  </si>
  <si>
    <t>Optional Variable</t>
  </si>
  <si>
    <t>Optional Value</t>
  </si>
  <si>
    <t>Fixed Cost ($)</t>
  </si>
  <si>
    <t>Unit Cost</t>
  </si>
  <si>
    <t>Unit Cost (units)</t>
  </si>
  <si>
    <t>Scaling Variable</t>
  </si>
  <si>
    <t>Scaling Variable Ref Value</t>
  </si>
  <si>
    <t>Units</t>
  </si>
  <si>
    <t>Exponent</t>
  </si>
  <si>
    <t>Dollar Year</t>
  </si>
  <si>
    <t>Type</t>
  </si>
  <si>
    <t>Source</t>
  </si>
  <si>
    <t>Ref</t>
  </si>
  <si>
    <t>Link</t>
  </si>
  <si>
    <t>Notes</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</si>
  <si>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</si>
  <si>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</si>
  <si>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</si>
  <si>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</si>
  <si>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</si>
  <si>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</si>
  <si>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</si>
  <si>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</si>
  <si>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</si>
  <si>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</si>
  <si>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</si>
  <si>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Capitalized Pre-Construction Costs</t>
  </si>
  <si>
    <t>Land Cost</t>
  </si>
  <si>
    <t>standard</t>
  </si>
  <si>
    <t>Constant</t>
  </si>
  <si>
    <t>$/acres</t>
  </si>
  <si>
    <t>Land Area</t>
  </si>
  <si>
    <t>acres</t>
  </si>
  <si>
    <t>General</t>
  </si>
  <si>
    <t>The average cost per acre for rural land in 2022 from the US Department of Agriculture</t>
  </si>
  <si>
    <t>Abou-Jaoude, A., Lohse, C. S., Larsen, L. M., Guaita, N., Trivedi, I., Joseck, F. C., ... &amp; Stein, A. (2024). Meta-analysis of advanced nuclear reactor cost estimations (No. INL/RPT-24-77048-Rev001). Idaho National Laboratory (INL), Idaho Falls, ID (United States).</t>
  </si>
  <si>
    <t>https://inldigitallibrary.inl.gov/sites/sti/sti/Sort_107010.pdf</t>
  </si>
  <si>
    <t>No Learning</t>
  </si>
  <si>
    <t>Lognormal</t>
  </si>
  <si>
    <t>Truncated Normal</t>
  </si>
  <si>
    <t>Site Permits</t>
  </si>
  <si>
    <t>$/MWe</t>
  </si>
  <si>
    <t>Power MWe</t>
  </si>
  <si>
    <t>MWe</t>
  </si>
  <si>
    <t>Labor</t>
  </si>
  <si>
    <t>Data from SMR MHTGRs</t>
  </si>
  <si>
    <t>Plant Licensing</t>
  </si>
  <si>
    <t>NGNP project</t>
  </si>
  <si>
    <t>Gandrik, A., B. Wallace, L. Demick, S. Melancon and M. Patterson (2011). "Assessment of high temperature gas-cooled reactor (HTGR) capital and operating costs." Idaho National Laboratory, TEV-1196, Idaho Falls, ID.</t>
  </si>
  <si>
    <t>https://art.inl.gov/NGNP/INL%20Documents/Year%202012/Assessment%20of%20High%20Temperature%20Gas-Cooled%20Reactor%20-%20HTGR%20-%20Capital%20and%20Operating%20Costs.pdf</t>
  </si>
  <si>
    <t>Uniform</t>
  </si>
  <si>
    <t>Plant Permits</t>
  </si>
  <si>
    <t>Plant Studies</t>
  </si>
  <si>
    <t>MARVEL Project (Labor-adjusted Cost)</t>
  </si>
  <si>
    <t>Hanna, B. N., Gonzaga de Oliveira, R. G., Mohammad Al Dawood, K. A., Patterson, M. D., Abou Jaoude, A., &amp; Garcia, S. (2024). Technoeconomic Evaluation of Microreactor Using Detailed Bottom-up Estimate (No. INL/RPT-24-80433-Rev000). Idaho National Laboratory (INL), Idaho Falls, ID (United States).</t>
  </si>
  <si>
    <t>https://inldigitallibrary.inl.gov/sites/sti/sti/Sort_129862.pdf</t>
  </si>
  <si>
    <t>MARVEL's data were updated</t>
  </si>
  <si>
    <t>Capitalized Direct Costs</t>
  </si>
  <si>
    <t>Structures and Improvements</t>
  </si>
  <si>
    <t>Site Preparation/ Yard Work</t>
  </si>
  <si>
    <t>Cleaning and Grubbing</t>
  </si>
  <si>
    <t>Lab and Equip</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</si>
  <si>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</si>
  <si>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</si>
  <si>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</si>
  <si>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Stripping Topsoil</t>
  </si>
  <si>
    <t>Excavation</t>
  </si>
  <si>
    <t>$/m^3</t>
  </si>
  <si>
    <t>Excavation Volume</t>
  </si>
  <si>
    <t>m^3</t>
  </si>
  <si>
    <t>Roadwork</t>
  </si>
  <si>
    <t>Security Fencing</t>
  </si>
  <si>
    <t>$/m</t>
  </si>
  <si>
    <t>Site Perimeter</t>
  </si>
  <si>
    <t>Ref Table 2-8</t>
  </si>
  <si>
    <t>Kessler. Cost Estimate for an Away-From-Reactor Generic Interim Storage Facility (GISF) for Spent Nuclear Fuel. EPRI. 2009.</t>
  </si>
  <si>
    <t>https://www.epri.com/research/products/1018722</t>
  </si>
  <si>
    <t>Manufacturing Facility</t>
  </si>
  <si>
    <t>Fabrication Building</t>
  </si>
  <si>
    <t>Lab and Mat and Equip</t>
  </si>
  <si>
    <t xml:space="preserve">RSMeans software: a tool that primarily provides costs for non-nuclear work
Nuclear Multiplier have not been applied </t>
  </si>
  <si>
    <t>HVAC</t>
  </si>
  <si>
    <t>Feed and Product Warehouse Building</t>
  </si>
  <si>
    <t>Manufacturing Facility Integrated Control Building</t>
  </si>
  <si>
    <t>Manufacturing Facility Admin Building</t>
  </si>
  <si>
    <t>Manufacturing Facility Security Building</t>
  </si>
  <si>
    <t>Factory Perimeter</t>
  </si>
  <si>
    <t>Servicing Facility</t>
  </si>
  <si>
    <t>Servicing Building</t>
  </si>
  <si>
    <t>Servicing Hot Cell</t>
  </si>
  <si>
    <t>Servicing Hot Cell Count</t>
  </si>
  <si>
    <t>Hot Cell Airlock</t>
  </si>
  <si>
    <t>Helium Purification and Storage Building</t>
  </si>
  <si>
    <t>Servicing Facility Integrated Control Room</t>
  </si>
  <si>
    <t>Servicing Facility Admin Building</t>
  </si>
  <si>
    <t>Servicing Facility Security Building</t>
  </si>
  <si>
    <t>Servicing Facility Perimeter</t>
  </si>
  <si>
    <t>New Reactor Fuel and Testing Facility</t>
  </si>
  <si>
    <t>Fresh Fuel Storage and Inspection Building</t>
  </si>
  <si>
    <t>Reactor Fueling Building</t>
  </si>
  <si>
    <t>Reactor Fueling Hot Cell</t>
  </si>
  <si>
    <t>New Reactor Fueling Line Count</t>
  </si>
  <si>
    <t>Reactor Testing Building</t>
  </si>
  <si>
    <t>Reactor Testing Hot Cell</t>
  </si>
  <si>
    <t>New Reactor Testing Line Count</t>
  </si>
  <si>
    <t>New Reactor Fuel and Testing Facility Admin Building</t>
  </si>
  <si>
    <t>New Reactor Fuel and Testing Facility Security Building</t>
  </si>
  <si>
    <t>New Reactor Facility Perimeter</t>
  </si>
  <si>
    <t>Radioactive Waste Management Facility</t>
  </si>
  <si>
    <t>Radioactive Waste Processing Building</t>
  </si>
  <si>
    <t>Radioactive Waste Processing Hot Cell</t>
  </si>
  <si>
    <t>Radioactive Waste Processing Building Volume</t>
  </si>
  <si>
    <t>Radioactive Waste Storage Building</t>
  </si>
  <si>
    <t>Radioactive Waste Storage Building Volume</t>
  </si>
  <si>
    <t>Radioactive Waste Management Facility Integrated Control Room</t>
  </si>
  <si>
    <t>Radioactive Waste Management Facility Admin Building</t>
  </si>
  <si>
    <t>Radioactive Waste Management Facility Security Building</t>
  </si>
  <si>
    <t>Radioactive Waste Management Facility Perimeter</t>
  </si>
  <si>
    <t>Manufacturing Facility Equipment</t>
  </si>
  <si>
    <t>New Reactor Production Rate</t>
  </si>
  <si>
    <t>Rx/yr</t>
  </si>
  <si>
    <t>Sai's Deliverable Spreadsheet</t>
  </si>
  <si>
    <t>Servicing Facility Equipment</t>
  </si>
  <si>
    <t>Used Reactor Servicing Equipment</t>
  </si>
  <si>
    <t>Fuel/Internal Handling Robot</t>
  </si>
  <si>
    <t>Defueling/Refueling Line Count</t>
  </si>
  <si>
    <t>MIT-ANP-TR-198</t>
  </si>
  <si>
    <t>ABB Robotics Estimate</t>
  </si>
  <si>
    <t>Fuel Crane</t>
  </si>
  <si>
    <t>Konecrane Estimate</t>
  </si>
  <si>
    <t>Reactor Crane</t>
  </si>
  <si>
    <t>Operating Platform</t>
  </si>
  <si>
    <t>Vessel Inspection System</t>
  </si>
  <si>
    <t>IAEA-TCS-9</t>
  </si>
  <si>
    <t>NON-DESTRUCTIVE TESTING: A GUIDEBOOK FOR INDUSTRIAL MANAGEMENT AND QUALITY CONTROL PERSONNEL IAEA, VIENNA, 1999</t>
  </si>
  <si>
    <t>https://inis.iaea.org/records/hb38s-b7r14/files/31005449.pdf</t>
  </si>
  <si>
    <t>Reference p127 gives ROM cost of automated RPV inspection: "millions of dollars"</t>
  </si>
  <si>
    <t>Decontamination System</t>
  </si>
  <si>
    <t>Servicing Hot Cell Shielding</t>
  </si>
  <si>
    <t>Used Reactor Testing Equipment</t>
  </si>
  <si>
    <t>Handling Robot</t>
  </si>
  <si>
    <t>Primary Heat Transport System</t>
  </si>
  <si>
    <t>TODO: should simply use the same cost as the Reactor Side</t>
  </si>
  <si>
    <t>Testing Hot Cell Shielding</t>
  </si>
  <si>
    <t>Auxiliary System</t>
  </si>
  <si>
    <t>Fire Protection Equipment</t>
  </si>
  <si>
    <t>Service Water/Air/Steam System</t>
  </si>
  <si>
    <t>Power Mwt Processed by Servicing</t>
  </si>
  <si>
    <t>MWt</t>
  </si>
  <si>
    <t>PWR12-ME</t>
  </si>
  <si>
    <t>Power Law scaling of PWR12-ME Service Water/Air/Steam System. Needs better cost correlation.</t>
  </si>
  <si>
    <t>Radwaste Processing System</t>
  </si>
  <si>
    <t>Gas Waste System</t>
  </si>
  <si>
    <t>$/MWt</t>
  </si>
  <si>
    <t>Liquid Waste System</t>
  </si>
  <si>
    <t>Solid Waste System</t>
  </si>
  <si>
    <t>Inert Gas System</t>
  </si>
  <si>
    <t>Total Servicing Hot Cell Volume</t>
  </si>
  <si>
    <t>Park et al., Bottom-up levelized cost estimation of low-enriched and low-pressure nuclear batteries. NED. 2025</t>
  </si>
  <si>
    <t>https://doi.org/10.1016/j.nucengdes.2025.113936</t>
  </si>
  <si>
    <t>Uses LMFBR Inert Gas System as reference for Power Law Scaling using Containment/HotCell Volume</t>
  </si>
  <si>
    <t>Helium Management Equipment</t>
  </si>
  <si>
    <t>Helium Treatment and Recycle</t>
  </si>
  <si>
    <t>Helium Storage Equipment</t>
  </si>
  <si>
    <t>Helium Transfer Equipment</t>
  </si>
  <si>
    <t>Reactor Cask Management Equipment</t>
  </si>
  <si>
    <t>Cask Inspection Equipment</t>
  </si>
  <si>
    <t>Cask Transfer Crane</t>
  </si>
  <si>
    <t>Cask Storage Rack</t>
  </si>
  <si>
    <t>Integrated Control System</t>
  </si>
  <si>
    <t>Plant Control Systems</t>
  </si>
  <si>
    <t>Instrumentation and Controls</t>
  </si>
  <si>
    <t>Process Computer</t>
  </si>
  <si>
    <t>Alarm System</t>
  </si>
  <si>
    <t>Monitoring System</t>
  </si>
  <si>
    <t>Communication System</t>
  </si>
  <si>
    <t>New Reactor Fueling and Testing Facility Equipment</t>
  </si>
  <si>
    <t>New Reactor Fueling Equipment</t>
  </si>
  <si>
    <t>Fuel Handling Robot</t>
  </si>
  <si>
    <t>Fueling Hot Cell Shielding</t>
  </si>
  <si>
    <t>New Reactor Testing Equipment</t>
  </si>
  <si>
    <t>Fresh Fuel Management Equipment</t>
  </si>
  <si>
    <t>Fresh Fuel Inspection Equipment</t>
  </si>
  <si>
    <t>Fresh Fuel Cask Storage Racks</t>
  </si>
  <si>
    <t>Power Mwt of Operating Fleet</t>
  </si>
  <si>
    <t>New Reactor Testing Hot Cell Volume</t>
  </si>
  <si>
    <t>Radioactive Waste Management Facility Equipment</t>
  </si>
  <si>
    <t>Power Mwe Processed by New Reactor Facility</t>
  </si>
  <si>
    <t>Radioactive Waste Cask Management Equipment</t>
  </si>
  <si>
    <t>Electrical Equipment</t>
  </si>
  <si>
    <t>Switchgear</t>
  </si>
  <si>
    <t>Central Facility Power MWe</t>
  </si>
  <si>
    <t>EEDB PWR12-ME + Stewart and Shirvan (2022)
Scales PWR12-ME costs with simplifications based on Stewart and Srhivan (2022)</t>
  </si>
  <si>
    <t>Stewart, W. R., &amp; Shirvan, K. (2022). Capital cost estimation for advanced nuclear power plants. Renewable and Sustainable Energy Reviews, 155, 111880.</t>
  </si>
  <si>
    <t>Station Service Equipment</t>
  </si>
  <si>
    <t>Switchboards</t>
  </si>
  <si>
    <t>Protective Equipment</t>
  </si>
  <si>
    <t>Electrical Structure &amp; Wiring Container</t>
  </si>
  <si>
    <t>Power &amp; Control Wiring</t>
  </si>
  <si>
    <t>Equipment to support Site Function</t>
  </si>
  <si>
    <t>Physical Security Systems</t>
  </si>
  <si>
    <t>Transport Equipment</t>
  </si>
  <si>
    <t>Onsite Transport Equipment</t>
  </si>
  <si>
    <t>Local Transport Vehicle</t>
  </si>
  <si>
    <t>Local Transport Vehecle Count</t>
  </si>
  <si>
    <t>Off-site Transport Equipment</t>
  </si>
  <si>
    <t>Large Cargo Transport Vehicle</t>
  </si>
  <si>
    <t>General Transport Vehicle Count</t>
  </si>
  <si>
    <t>Used Reactor Transport Vehicle</t>
  </si>
  <si>
    <t>Reactor Transport Vehicle Count</t>
  </si>
  <si>
    <t>Operational Spares/Waste Transport Vehicle</t>
  </si>
  <si>
    <t>Spares/Waste Transport Vehicle Count</t>
  </si>
  <si>
    <t>Vehicle Inspection and Maintenance Equipment</t>
  </si>
  <si>
    <t>Capitalized Indirect Services Cost</t>
  </si>
  <si>
    <t>Factory &amp; field indirect costs</t>
  </si>
  <si>
    <t>MARVEL</t>
  </si>
  <si>
    <t>Factory and construction supervision</t>
  </si>
  <si>
    <t>Startup Costs</t>
  </si>
  <si>
    <t>Shipping and Transportation Costs</t>
  </si>
  <si>
    <t>Engineering Services</t>
  </si>
  <si>
    <t>PM/CM Services</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</si>
  <si>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</si>
  <si>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</si>
  <si>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Capitalized training costs</t>
  </si>
  <si>
    <t>staff recruitment and training</t>
  </si>
  <si>
    <t xml:space="preserve">Capitalized Financial Costs </t>
  </si>
  <si>
    <t>Interest</t>
  </si>
  <si>
    <t xml:space="preserve">Annualized O&amp;M Cost </t>
  </si>
  <si>
    <t>$/FTE</t>
  </si>
  <si>
    <t>Number of Operators</t>
  </si>
  <si>
    <t>de Candido, I., A. Al Rashdan, A. Abou-Jaoude, and J. Buongiorno. 2024. “Assessment of Technoeconomic Opportunities in Automation for Nuclear Microreactors.” Nuclear Science and Engineering, 1–20. https://doi.org/10.1080/00295639.2024.2372511.</t>
  </si>
  <si>
    <t>O&amp;M Staff</t>
  </si>
  <si>
    <t>Reactors Monitored Per Operator</t>
  </si>
  <si>
    <t xml:space="preserve">Operators </t>
  </si>
  <si>
    <t>nonstandard</t>
  </si>
  <si>
    <t>Security Staff Per Shift</t>
  </si>
  <si>
    <t xml:space="preserve">Remote Monitoring Technicians </t>
  </si>
  <si>
    <t xml:space="preserve">Security Staff </t>
  </si>
  <si>
    <t>Maintenance Staff</t>
  </si>
  <si>
    <t xml:space="preserve">Fixed O&amp;M Utilities and Materials </t>
  </si>
  <si>
    <t>Spare Parts</t>
  </si>
  <si>
    <t>Utilities, Supplies, and Consumables</t>
  </si>
  <si>
    <t>Annualized Transportation Costs</t>
  </si>
  <si>
    <t>Annualized Cask Replacements</t>
  </si>
  <si>
    <t>Spent Fuel Cask</t>
  </si>
  <si>
    <t>Annual Spent Fuel Cask Replacement</t>
  </si>
  <si>
    <t>Equipment</t>
  </si>
  <si>
    <t>NUHOMS EOS 37 PTH ESC Cask</t>
  </si>
  <si>
    <t>Reactor Transport Cask</t>
  </si>
  <si>
    <t>Annual Reactor Cask Replacement</t>
  </si>
  <si>
    <t>Private Conversation</t>
  </si>
  <si>
    <t>Radioactive Waste Storage Cask</t>
  </si>
  <si>
    <t>Annual Rad Waste Cask Replacement</t>
  </si>
  <si>
    <t>Annualized Helium Replenishment</t>
  </si>
  <si>
    <t>$/Kg</t>
  </si>
  <si>
    <t>Onsite Coolant Inventory</t>
  </si>
  <si>
    <t>Kg</t>
  </si>
  <si>
    <t>Fernandez de Losada. (2024). Assessment of the Lifecycle Cost of Nuclear-Grade Coolants for Advanced Reactors. ETHzurich. Swiss.</t>
  </si>
  <si>
    <t>https://doi.org/10.3929/ethz-b-000709311</t>
  </si>
  <si>
    <t>Vendor Quoate (Linde) for 3000 cylinders of 99.999% purity Helium. 3000 cylinders correspond to ~4 MT of He.</t>
  </si>
  <si>
    <t>Capital Plant Expenditures</t>
  </si>
  <si>
    <t>Annualized Decommissioning Cost</t>
  </si>
  <si>
    <t>Parameter</t>
  </si>
  <si>
    <t>Value</t>
  </si>
  <si>
    <t>Note</t>
  </si>
  <si>
    <t>Reference</t>
  </si>
  <si>
    <t>indirect to direct field-related cost</t>
  </si>
  <si>
    <t>FTEs Per Onsite Operator (24/7)</t>
  </si>
  <si>
    <t>FTEs Per Offsite Operator (24/7)</t>
  </si>
  <si>
    <t>FTEs Per Security Staff (24/7)</t>
  </si>
  <si>
    <t>Hours Per FTE</t>
  </si>
  <si>
    <t>Work Hours Per Shift</t>
  </si>
  <si>
    <t>Maintenance to Direct Cost Ratio</t>
  </si>
  <si>
    <t>Onsite Learning</t>
  </si>
  <si>
    <t>FOAK to NOAK Learning Rates</t>
  </si>
  <si>
    <t>Assessment of Factory Fabrication Considerations
for Nuclear Microreactors
 10.1080/00295450.2023.2206779</t>
  </si>
  <si>
    <t>Calculated based on Refernce Paper + Gyutae's work. Refer to TEM Slides for rationale and methodology</t>
  </si>
  <si>
    <t>Licensing Learning</t>
  </si>
  <si>
    <t>Factory Primary Structure</t>
  </si>
  <si>
    <t>Factory Drums</t>
  </si>
  <si>
    <t>Factory Other</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</si>
  <si>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</si>
  <si>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</si>
  <si>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</si>
  <si>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</si>
  <si>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</si>
  <si>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Year</t>
  </si>
  <si>
    <t>Material</t>
  </si>
  <si>
    <t>Variable</t>
  </si>
  <si>
    <t>Description</t>
  </si>
  <si>
    <t>Overall System</t>
  </si>
  <si>
    <t>Thermal power</t>
  </si>
  <si>
    <t>kWth</t>
  </si>
  <si>
    <t xml:space="preserve">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</si>
  <si>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</si>
  <si>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</si>
  <si>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</si>
  <si>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</si>
  <si>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</si>
  <si>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</si>
  <si>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</si>
  <si>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</si>
  <si>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</si>
  <si>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</si>
  <si>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</si>
  <si>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</si>
  <si>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</si>
  <si>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</si>
  <si>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</si>
  <si>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</si>
  <si>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Reflector</t>
  </si>
  <si>
    <t>Outer reflector material</t>
  </si>
  <si>
    <t>BeO</t>
  </si>
  <si>
    <t>99% theoretical density</t>
  </si>
  <si>
    <t>Elements</t>
  </si>
  <si>
    <t>Quarter plates</t>
  </si>
  <si>
    <t>Reflector plate thickness</t>
  </si>
  <si>
    <t>Reflector plate volume</t>
  </si>
  <si>
    <t>cm3/plate</t>
  </si>
  <si>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</si>
  <si>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</si>
  <si>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</si>
  <si>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</si>
  <si>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</si>
  <si>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</si>
  <si>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</si>
  <si>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</si>
  <si>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</si>
  <si>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</si>
  <si>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</si>
  <si>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</si>
  <si>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</si>
  <si>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</si>
  <si>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t>B4C</t>
  </si>
  <si>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</si>
  <si>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</si>
  <si>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</si>
  <si>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</si>
  <si>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</si>
  <si>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</si>
  <si>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</si>
  <si>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</si>
  <si>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</si>
  <si>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TOTAL</t>
  </si>
  <si>
    <t>Shielding in Vessel</t>
  </si>
  <si>
    <t>Stainless Steel cans</t>
  </si>
  <si>
    <t xml:space="preserve"> Stainless Steel cans of the boron carbide shielding material (SS316H)</t>
  </si>
  <si>
    <t>Gamma shield material</t>
  </si>
  <si>
    <t>Gamma shield material inside the guard vessel (of Tungsten)</t>
  </si>
  <si>
    <t xml:space="preserve">Neutron shield material in the guard vessel </t>
  </si>
  <si>
    <t xml:space="preserve"> made of natural B4C powder and is located above the core (a donut around the core barrel)—</t>
  </si>
  <si>
    <t xml:space="preserve">Boron Carbine shielding </t>
  </si>
  <si>
    <t xml:space="preserve"> made of natural B4C (called base shield) below the core</t>
  </si>
  <si>
    <t>Radial (lead)</t>
  </si>
  <si>
    <t xml:space="preserve">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</si>
  <si>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</si>
  <si>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</si>
  <si>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</si>
  <si>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</si>
  <si>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</si>
  <si>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</si>
  <si>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</si>
  <si>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</si>
  <si>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</si>
  <si>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xml:space="preserve">— </t>
  </si>
  <si>
    <t>Mass of PCSs</t>
  </si>
  <si>
    <t>SS316H</t>
  </si>
  <si>
    <t>Subassembly Structure Masses</t>
  </si>
  <si>
    <t>Reactor support frame</t>
  </si>
  <si>
    <t>Guard vessel</t>
  </si>
  <si>
    <t>Account ID</t>
  </si>
  <si>
    <t>TOTAL COST (2024 USD)</t>
  </si>
  <si>
    <t>Site Preparation/Yard Work</t>
  </si>
  <si>
    <t>Reactor Island Civil Structures</t>
  </si>
  <si>
    <t>Main Function Buildings</t>
  </si>
  <si>
    <t xml:space="preserve">Buildings to Support Main Function </t>
  </si>
  <si>
    <t>Emergency and Start-up Power Systems</t>
  </si>
  <si>
    <t>Miscellaneous Other Structures</t>
  </si>
  <si>
    <t>Reactor System</t>
  </si>
  <si>
    <t>Reactor Components</t>
  </si>
  <si>
    <t>Reactor vessel and accessories</t>
  </si>
  <si>
    <t>Reactor support</t>
  </si>
  <si>
    <t>Outer vessel structure</t>
  </si>
  <si>
    <t>Inner vessel structure</t>
  </si>
  <si>
    <t>Reactor control devices</t>
  </si>
  <si>
    <t>Reactivity control system</t>
  </si>
  <si>
    <t>Reactivity Control System Fabrication</t>
  </si>
  <si>
    <t>Installation</t>
  </si>
  <si>
    <t>Control Drums Materials (Absorber)</t>
  </si>
  <si>
    <t>Control Drums Materials (Reflector)</t>
  </si>
  <si>
    <t>Non-fuel core internals</t>
  </si>
  <si>
    <t>Reflector (Materials: BeO)</t>
  </si>
  <si>
    <t>Reflector (Materials: Be Metal)</t>
  </si>
  <si>
    <t>Reflector (installation</t>
  </si>
  <si>
    <t>Shield</t>
  </si>
  <si>
    <t>Moderator</t>
  </si>
  <si>
    <t>Main Heat Transport System</t>
  </si>
  <si>
    <t>Fluid circulation drive system</t>
  </si>
  <si>
    <t>Reactor Heat Hransfer Piping System</t>
  </si>
  <si>
    <t>Reactor Heat Hransfer Piping System (Mat)</t>
  </si>
  <si>
    <t>Reactor Heat Hransfer Piping System (Fabrication)</t>
  </si>
  <si>
    <t>Reactor Heat Hransfer Piping System (Installation)</t>
  </si>
  <si>
    <t>Heat Exchangers</t>
  </si>
  <si>
    <t>Pressurizer System</t>
  </si>
  <si>
    <t>Initial Heat Transfer Fluid Inventory</t>
  </si>
  <si>
    <t>Radioactive Byproduct Processing Systems</t>
  </si>
  <si>
    <t>Other Reactor Plant Equipment</t>
  </si>
  <si>
    <t>Reactor Instrumentation and Control (I&amp;C)</t>
  </si>
  <si>
    <t>Reactor Plant Miscellaneous Items</t>
  </si>
  <si>
    <t>Energy Conversion System</t>
  </si>
  <si>
    <t>Energy Applications</t>
  </si>
  <si>
    <t>Electricity Generation Systems</t>
  </si>
  <si>
    <t>Protective Systems Equipment</t>
  </si>
  <si>
    <t>Electrical Raceway Systems</t>
  </si>
  <si>
    <t>Power and Control Cables and Wiring</t>
  </si>
  <si>
    <t>Initial Fuel Inventory</t>
  </si>
  <si>
    <t xml:space="preserve">254 </t>
  </si>
  <si>
    <t xml:space="preserve">First Core Fuel Assembly Fabrication </t>
  </si>
  <si>
    <t>Miscellaneous Equipment</t>
  </si>
  <si>
    <t xml:space="preserve">Factory &amp; Field Indirect Costs </t>
  </si>
  <si>
    <t>Field Shops</t>
  </si>
  <si>
    <t>Commissioning and Trial Test Runs</t>
  </si>
  <si>
    <t>Initial Fuel Loading Operations</t>
  </si>
  <si>
    <t>Test Runs</t>
  </si>
  <si>
    <t xml:space="preserve">Fuel Shipping and Transportation </t>
  </si>
  <si>
    <t>Other Shipping and Transportation Costs</t>
  </si>
  <si>
    <t>Off-Site</t>
  </si>
  <si>
    <t>On-Site</t>
  </si>
  <si>
    <t>Capitalized Training Costs</t>
  </si>
  <si>
    <t>Staff Recruitment and Training</t>
  </si>
  <si>
    <t>Capitalized Supplementary Costs</t>
  </si>
  <si>
    <t>Decommissioning</t>
  </si>
  <si>
    <t>Escalation</t>
  </si>
  <si>
    <t>Non-Recurrung Costs</t>
  </si>
  <si>
    <t>Sec Optional Variable</t>
  </si>
  <si>
    <t>Sec Optional Value</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</si>
  <si>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</si>
  <si>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</si>
  <si>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Reactor Building Slab Roof</t>
  </si>
  <si>
    <t>Reactor Building Slab Roof Volume</t>
  </si>
  <si>
    <t>Reactor Building Basement</t>
  </si>
  <si>
    <t>Reactor Building Basement Volume</t>
  </si>
  <si>
    <t>Reactor Building Walls</t>
  </si>
  <si>
    <t>Reactor Building Exterior Walls Volume</t>
  </si>
  <si>
    <t>Reactor Building Liner</t>
  </si>
  <si>
    <t>$/m^2</t>
  </si>
  <si>
    <t>Reactor Building Superstructure Area</t>
  </si>
  <si>
    <t>m^2</t>
  </si>
  <si>
    <t>Stewart W.R., Shirvan K., "Capital cost estimation for advanced nuclear power plants," Renewable and Sustainable Energy Reviews, Nov. 2021, 111880</t>
  </si>
  <si>
    <t>https://doi.org/10.1016/j.rser.2021.111880</t>
  </si>
  <si>
    <t>Reactor Building HVAC</t>
  </si>
  <si>
    <t>Power MWt</t>
  </si>
  <si>
    <t>Energy conversion Building</t>
  </si>
  <si>
    <t>Energy Conversion Building Slab Roof</t>
  </si>
  <si>
    <t>Turbine Building Slab Roof Volume</t>
  </si>
  <si>
    <t xml:space="preserve">RSMeans software: a tool that primarily provides costs for non-nuclear work
</t>
  </si>
  <si>
    <t>Energy Conversion Building Basement</t>
  </si>
  <si>
    <t>Turbine Building Basement Volume</t>
  </si>
  <si>
    <t>Energy Conversion Building Walls</t>
  </si>
  <si>
    <t>Turbine Building Exterior Walls Volume</t>
  </si>
  <si>
    <t>Control building</t>
  </si>
  <si>
    <t>Control Building Slab Roof</t>
  </si>
  <si>
    <t>Control Building Slab Roof Volume</t>
  </si>
  <si>
    <t>Control Building Basement</t>
  </si>
  <si>
    <t>Control Building Basement Volume</t>
  </si>
  <si>
    <t>Control Building Walls</t>
  </si>
  <si>
    <t>Control Building Exterior Walls Volume</t>
  </si>
  <si>
    <t>Integrated Heat Exchanger Building</t>
  </si>
  <si>
    <t>reactor type</t>
  </si>
  <si>
    <t>GCMR</t>
  </si>
  <si>
    <t>Integrated Heat Exchanger Building Slab Roof</t>
  </si>
  <si>
    <t>Integrated Heat Exchanger Building Slab Roof Volume</t>
  </si>
  <si>
    <t>Integrated Heat Exchanger Building Basement</t>
  </si>
  <si>
    <t>Integrated Heat Exchanger Building Basement Volume</t>
  </si>
  <si>
    <t>Integrated Heat Exchanger Building Walls</t>
  </si>
  <si>
    <t>Integrated Heat Exchanger Building Exterior Walls Volume</t>
  </si>
  <si>
    <t>Integrated Heat Exchanger Building Liner</t>
  </si>
  <si>
    <t>Integrated Heat Exchanger Building Superstructure Area</t>
  </si>
  <si>
    <t>Fuel Management Buildings</t>
  </si>
  <si>
    <t>Refueling Building</t>
  </si>
  <si>
    <t>Refueling Building Slab Roof</t>
  </si>
  <si>
    <t>Refueling Building Slab Roof Volume</t>
  </si>
  <si>
    <t>Refueling Building Basement</t>
  </si>
  <si>
    <t>Refueling Building Basement Volume</t>
  </si>
  <si>
    <t>Refueling Building Walls</t>
  </si>
  <si>
    <t>Refueling Building Exterior Walls Volume</t>
  </si>
  <si>
    <t>Spent Fuel Building</t>
  </si>
  <si>
    <t>Spent Fuel Building Slab Roof</t>
  </si>
  <si>
    <t>Spent Fuel Building Slab Roof Volume</t>
  </si>
  <si>
    <t>Spent Fuel Building Basement</t>
  </si>
  <si>
    <t>Spent Fuel Building Basement Volume</t>
  </si>
  <si>
    <t>Spent Fuel Building Walls</t>
  </si>
  <si>
    <t>Spent Fuel Building Exterior Walls Volume</t>
  </si>
  <si>
    <t>Emergency and Start-up Power Systems Building</t>
  </si>
  <si>
    <t>Emergency Building</t>
  </si>
  <si>
    <t>Emergency Building Slab Roof</t>
  </si>
  <si>
    <t>Emergency Building Slab Roof Volume</t>
  </si>
  <si>
    <t>Emergency Building Basement</t>
  </si>
  <si>
    <t>Emergency Building Basement Volume</t>
  </si>
  <si>
    <t>Emergency Building Walls</t>
  </si>
  <si>
    <t>Emergency Building Exterior Walls Volume</t>
  </si>
  <si>
    <t>Diesel Generator</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</si>
  <si>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</si>
  <si>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</si>
  <si>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</si>
  <si>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Auxilliary Building</t>
  </si>
  <si>
    <t>Maniplator Building</t>
  </si>
  <si>
    <t>Manipulator Building Slab Roof</t>
  </si>
  <si>
    <t>Manipulator Building Slab Roof Volume</t>
  </si>
  <si>
    <t>Added a custom building for GCMR based on CAD drawing</t>
  </si>
  <si>
    <t>ManipulatorBuilding Basement</t>
  </si>
  <si>
    <t>Manipulator Building Basement Volume</t>
  </si>
  <si>
    <t>Manipulator Building Exterior Walls</t>
  </si>
  <si>
    <t>Manipulator Building Exterior Walls Volume</t>
  </si>
  <si>
    <t>Supply Chain Buildings</t>
  </si>
  <si>
    <t>Storage Building</t>
  </si>
  <si>
    <t>Storage Building Slab Roof</t>
  </si>
  <si>
    <t>Storage Building Slab Roof Volume</t>
  </si>
  <si>
    <t>Storage Building Basement</t>
  </si>
  <si>
    <t>Storage Building Basement Volume</t>
  </si>
  <si>
    <t>Storage Building Walls</t>
  </si>
  <si>
    <t>Storage Building Exterior Walls Volume</t>
  </si>
  <si>
    <t>Radwaste Building</t>
  </si>
  <si>
    <t>Radwaste Building Slab Roof</t>
  </si>
  <si>
    <t>Radwaste Building Slab Roof Volume</t>
  </si>
  <si>
    <t>Radwaste Building Basement</t>
  </si>
  <si>
    <t>Radwaste Building Basement Volume</t>
  </si>
  <si>
    <t>Radwaste Building Walls</t>
  </si>
  <si>
    <t>Radwaste Building Exterior Walls Volume</t>
  </si>
  <si>
    <t>Reactor Vessel and Accessories</t>
  </si>
  <si>
    <t>Reactor Support</t>
  </si>
  <si>
    <t>Total Vessels Mass</t>
  </si>
  <si>
    <t>Unit cost is the cost of support structure divided by the cost of guard vessel plus PCS</t>
  </si>
  <si>
    <t>Outer Vessel Structure</t>
  </si>
  <si>
    <t>Guard Vessel Material</t>
  </si>
  <si>
    <t>stainless_steel</t>
  </si>
  <si>
    <t>Guard Vessel Mass</t>
  </si>
  <si>
    <t>Ganda et al., 2018</t>
  </si>
  <si>
    <t>Ganda, F., Hoffman, E., Taiwo, T. A., Kim, T. K., &amp; Hansen, J. (2019). Report on the ACCERT cost algorithms tool (No. ANL/NSE-19/10). Argonne National Lab.(ANL), Argonne, IL (United States).</t>
  </si>
  <si>
    <t>low_alloy_steel</t>
  </si>
  <si>
    <t>incoloy</t>
  </si>
  <si>
    <t>Inner Vessel Structure</t>
  </si>
  <si>
    <t>Vessel Material</t>
  </si>
  <si>
    <t>Vessel Mass</t>
  </si>
  <si>
    <t>Unit cost if the PCS cost (in MARVEL) divided by the PCS mass in MARVEL</t>
  </si>
  <si>
    <t>Reactor Control Devices</t>
  </si>
  <si>
    <t xml:space="preserve">Reactivity Control System </t>
  </si>
  <si>
    <t>$/Drum</t>
  </si>
  <si>
    <t>Drum Count</t>
  </si>
  <si>
    <t xml:space="preserve">MARVEL Project </t>
  </si>
  <si>
    <t>Updated MARVEL Cost Estimate + Communication with MARVEL Team</t>
  </si>
  <si>
    <t>Gerstner, D., &amp; Arafat, Y. (2023). MARVEL 90% Final Design Report (No. INL/RPT-23-74280-Rev000). Idaho National Laboratory (INL), Idaho Falls, ID (United States).
Hanna, B. N., Gonzaga de Oliveira, R. G., Mohammad Al Dawood, K. A., Patterson, M. D., Abou Jaoude, A., &amp; Garcia, S. (2024). Technoeconomic Evaluation of Microreactor Using Detailed Bottom-up Estimate (No. INL/RPT-24-80433-Rev000). Idaho National Laboratory (INL), Idaho Falls, ID (United States).</t>
  </si>
  <si>
    <t>The scaling variable here is the total mass of all the control drums</t>
  </si>
  <si>
    <t>Control Drum Absorber</t>
  </si>
  <si>
    <t>B4C_natural</t>
  </si>
  <si>
    <t>Control Drum Absorber Mass</t>
  </si>
  <si>
    <t>B4C_enriched</t>
  </si>
  <si>
    <t>Prosser et al., 2023</t>
  </si>
  <si>
    <t>Control Drum Reflector</t>
  </si>
  <si>
    <t>Control Drum Reflector Mass</t>
  </si>
  <si>
    <t>Be</t>
  </si>
  <si>
    <t>Graphite</t>
  </si>
  <si>
    <t>Naranjo de Candido and Shirvan, 2022</t>
  </si>
  <si>
    <t>Naranjo De Candido and Shirvan. (2022). Graphite Life-Cycle Cost Model for HTGRs, International High-Level Radioactive Waste Management Conference</t>
  </si>
  <si>
    <t>Control System Drive Mechanism</t>
  </si>
  <si>
    <t>First-Principles Cost Estimation of a Sodium Fast  Reactor Nuclear Plant. INL/RPT-23-74316
Table 38, 39</t>
  </si>
  <si>
    <t>Bottom-up Estimation of components with nuclear escalation + contingency</t>
  </si>
  <si>
    <t>Non-Fuel Core Internals</t>
  </si>
  <si>
    <t>Radial Reflector</t>
  </si>
  <si>
    <t>Radial Reflector Mass</t>
  </si>
  <si>
    <t>Axial Reflector</t>
  </si>
  <si>
    <t>Axial Reflector Mass</t>
  </si>
  <si>
    <t>Al2O3</t>
  </si>
  <si>
    <t>NTRD-FCO-2018-000439</t>
  </si>
  <si>
    <t>MgO</t>
  </si>
  <si>
    <t>US Research Nanomaterials, Inc</t>
  </si>
  <si>
    <t>Imported from TEMA Cost_Database.xlsx (new material option not previously in MOUSE database).</t>
  </si>
  <si>
    <t>ZrC</t>
  </si>
  <si>
    <t>Atlanta Equipment Engineers</t>
  </si>
  <si>
    <t>SiC</t>
  </si>
  <si>
    <t>HSA Abrasives</t>
  </si>
  <si>
    <t>In Vessel Shield Materials</t>
  </si>
  <si>
    <t>In Vessel Shield Material</t>
  </si>
  <si>
    <t>In Vessel Shield Mass</t>
  </si>
  <si>
    <t>WC</t>
  </si>
  <si>
    <t>Engineering estimate: densified powder-metallurgy part (raw powder + fully-loaded sintering/consolidation), full industrial production, 2026 USD</t>
  </si>
  <si>
    <t>Powder: Fastmarkets tungsten APT/ferro-W (2026); Shanghai Metals Market / metal.com WC powder (2026); Made-in-China amorphous-boron supplier quotes (2026). Densification: R. Aalund, "Unveiling Spark Plasma Sintering High Throughput Technology," Thermal Technology LLC; G. Antou/Musa et al., J. Cleaner Prod. 17 (2009) 877-882; WB4 route: Int. J. Refractory Metals &amp; Hard Materials (ultra-high-P synthesis) and reactive hot-pressing (Ni aid) literature. See accompanying IEEE-referenced report.</t>
  </si>
  <si>
    <t>https://www.metal.com/Tungsten/201308090020</t>
  </si>
  <si>
    <t>Typical route: Liquid-phase sinter / sinter-HIP (cemented); binderless via SPS/HP costs more. Finished $/kg = raw powder ($120-190/kg) + fully-loaded densification ($30-90/kg). Point est. (K) = midpoint of AA/AB bounds. Confidence: Medium-high. Bounds widened by extreme 2026 tungsten price volatility (China export controls); re-price quarterly.</t>
  </si>
  <si>
    <t>WB</t>
  </si>
  <si>
    <t>Typical route: Hot pressing ~1700-2000 C, or CIP + pressureless sinter with aids. Finished $/kg = raw powder ($160-350/kg) + fully-loaded densification ($100-250/kg). Point est. (K) = midpoint of AA/AB bounds. Confidence: Low-medium. Bounds widened by extreme 2026 tungsten price volatility (China export controls); re-price quarterly.</t>
  </si>
  <si>
    <t>W2B</t>
  </si>
  <si>
    <t>Typical route: Hot pressing ~2000-2100 C (higher T than WB). Finished $/kg = raw powder ($160-340/kg) + fully-loaded densification ($110-270/kg). Point est. (K) = midpoint of AA/AB bounds. Confidence: Low-medium. Bounds widened by extreme 2026 tungsten price volatility (China export controls); re-price quarterly.</t>
  </si>
  <si>
    <t>WB4</t>
  </si>
  <si>
    <t>Typical route: SPS / hot pressing with Ni aid; metastable (decomposes to WB2 &gt;~1200 C at 1 atm). Finished $/kg = raw powder ($165-360/kg) + fully-loaded densification ($250-700/kg). Point est. (K) = midpoint of AA/AB bounds. Confidence: LOW. WB4: large single-phase shield parts are NOT a demonstrated production capability (metastable) - treat as R&amp;D; upside open-ended. Bounds widened by extreme 2026 tungsten price volatility (China export controls); re-price quarterly.</t>
  </si>
  <si>
    <t>Out The Vessel Shield Materials</t>
  </si>
  <si>
    <t>Out Of Vessel Shield Material</t>
  </si>
  <si>
    <t>Out Of Vessel Shield Mass</t>
  </si>
  <si>
    <t>WEP</t>
  </si>
  <si>
    <t>Copied from Account 221.321 (In Vessel Shield, B4C_natural) per user request, with Fixed Cost removed. Optional Variable and Scaling Variable were changed from the In-Vessel names to the Out-Of-Vessel equivalents so this row is actually selected/costed for the Out Of Vessel Shield Material sweep — copying those fields verbatim from 221.321 would have made this row never match and never be selected.</t>
  </si>
  <si>
    <t>Isocontainer Steel Shell</t>
  </si>
  <si>
    <t>Isocontainer Steel Material</t>
  </si>
  <si>
    <t>carbon_steel</t>
  </si>
  <si>
    <t>Mobile</t>
  </si>
  <si>
    <t>Isocontainer Mass</t>
  </si>
  <si>
    <t>Ganda et al., 2018 (proxy, see Notes)</t>
  </si>
  <si>
    <t>ADDED (new account, not present in MOUSE or TEMA). No dedicated ISO-container steel cost source was available, so this reuses the low_alloy_steel $/Kg unit cost from Accounts 221.120/221.130 (Ganda et al., 2018) as a proxy. Requires a corresponding 'Isocontainer Mass' calculation in the Python codebase, which does not exist yet as of this edit. Replace unit cost with a sourced quote if precision matters.</t>
  </si>
  <si>
    <t>Moderator Mass</t>
  </si>
  <si>
    <t>monolith_graphite</t>
  </si>
  <si>
    <t>Monolith graphite is expected to be more expensive so I multiplied the graphite cost by two</t>
  </si>
  <si>
    <t>ZrH</t>
  </si>
  <si>
    <t>the Fuel SA&amp;I Cost Basis Report</t>
  </si>
  <si>
    <t>YHx</t>
  </si>
  <si>
    <t>Moderator (Booster)</t>
  </si>
  <si>
    <t>Moderator Booster Materials</t>
  </si>
  <si>
    <t>Moderator Booster Mass</t>
  </si>
  <si>
    <t>We do not know the cost of Yhx. This is just a placeholder for now (assumed to be the same as ZrH)</t>
  </si>
  <si>
    <t>Abou-Jaoude, A., C. S. Lohse, L. M. Larsen, N. Guaita, I. Trivedi, F. C. Joseck, E. Hoffman, N. Stauff, K. Shirvan and A. Stein (2024). Meta-Analysis of Advanced Nuclear Reactor Cost Estimations, Idaho National Laboratory (INL), Idaho Falls, ID (United States).</t>
  </si>
  <si>
    <t>Fluid Circulation Drive System</t>
  </si>
  <si>
    <t>Primary Pump</t>
  </si>
  <si>
    <t>Yes</t>
  </si>
  <si>
    <t>$/(kg.sec)</t>
  </si>
  <si>
    <t>Primary Pump Mechanical Power</t>
  </si>
  <si>
    <t>Data from non-nuclear power plant + Ratio of safety grade pump nomalized cost compared to non-safety grade pump is btween 10 and 15 (12.5 ratio was used, from the EEDB (Ganda 2019, Figure 23)</t>
  </si>
  <si>
    <t>Roosen, P., Uhlenbruck, S., &amp; Lucas, K. (2003). Pareto optimization of a combined cycle power system as a decision support tool for trading off investment vs. operating costs. International Journal of Thermal Sciences, 42(6), 553-560.
Ganda, F., Hoffman, E., Taiwo, T. A., Kim, T. K., &amp; Hansen, J. (2019). Report on the ACCERT cost algorithms tool (No. ANL/NSE-19/10). Argonne National Lab.(ANL), Argonne, IL (United States).</t>
  </si>
  <si>
    <t>https://www.sciencedirect.com/science/article/pii/S1290072903000218
https://publications.anl.gov/anlpubs/2019/06/152862.pdf</t>
  </si>
  <si>
    <t>Secondary Pump</t>
  </si>
  <si>
    <t>Secondary Pump Mechanical Power</t>
  </si>
  <si>
    <t>Data from non-nuclear power plant</t>
  </si>
  <si>
    <t>Compressor</t>
  </si>
  <si>
    <t>unitless</t>
  </si>
  <si>
    <t>ANL/NSE-20/28</t>
  </si>
  <si>
    <t>Hoffman et al. (2020). Improvement of ACCERT Algorithm - FY20 (No. ANL/NSE-20/28). Argonne National Laboratory.(ANL), Argonne, IL (United States).</t>
  </si>
  <si>
    <t>Implemented on the python side. 
Chosen over default due to uncertainty in compressor Pressure Ratio changes based on reactor TH</t>
  </si>
  <si>
    <t>Reactor Heat Transfer Piping System</t>
  </si>
  <si>
    <t>From EEBD</t>
  </si>
  <si>
    <t>LTMR</t>
  </si>
  <si>
    <t>HPMR</t>
  </si>
  <si>
    <t>$/heatpipe</t>
  </si>
  <si>
    <t>Number of Heatpipes</t>
  </si>
  <si>
    <t>https://inldigitallibrary.inl.gov/sites/sti/sti/Sort_46104.pdf</t>
  </si>
  <si>
    <t>Primary Heat Exchanger</t>
  </si>
  <si>
    <t>HX Material</t>
  </si>
  <si>
    <t>SS316</t>
  </si>
  <si>
    <t>Primary HX Mass</t>
  </si>
  <si>
    <t>Non Nuclear Plants</t>
  </si>
  <si>
    <t>Gezelius, K. (2004). Design of compact intermediate heat exchangers for gas cooled fast reactors, Massachusetts Institute of Technology.</t>
  </si>
  <si>
    <t>800H</t>
  </si>
  <si>
    <t>Yoon, S.-J., P. Sabharwall and E.-S. Kim (2013). Analytical study on thermal and mechanical design of printed circuit heat exchanger, Idaho National Lab.(INL), Idaho Falls, ID (United States).</t>
  </si>
  <si>
    <t>Secondary Heat Exchanger</t>
  </si>
  <si>
    <t>Secondary HX Mass</t>
  </si>
  <si>
    <t>Initial Coolant Inventory</t>
  </si>
  <si>
    <t>Coolant</t>
  </si>
  <si>
    <t>Helium</t>
  </si>
  <si>
    <t>NaK</t>
  </si>
  <si>
    <t>Integrated Heat Transfer Vessel</t>
  </si>
  <si>
    <t>Integrated Heat Transfer Vessel Mass</t>
  </si>
  <si>
    <t>Custom Accounts to model the vessel that houses the PCHE, Circulator, and Pipe Connections. These are assumed to be SA508 for now but use the same unit-cost as SS PCHE</t>
  </si>
  <si>
    <t>Integrated Heat Transfer System Support</t>
  </si>
  <si>
    <t>Safety Systems</t>
  </si>
  <si>
    <t>Reactor Cavity Cooling System (Rvacs)</t>
  </si>
  <si>
    <t>Rvacs (Cooling Vessel)</t>
  </si>
  <si>
    <t>Cooling Vessel Mass</t>
  </si>
  <si>
    <t>Rvacs (Intake Vessel)</t>
  </si>
  <si>
    <t>Intake Vessel Mass</t>
  </si>
  <si>
    <t>Primary Loop Mass Flow Rate</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</si>
  <si>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</si>
  <si>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</si>
  <si>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</si>
  <si>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</si>
  <si>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</si>
  <si>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https://doi.org/10.1016/j.nucengdes.2023.112470</t>
  </si>
  <si>
    <t>Cost based on FOAK Digital I&amp;C with 2-out-of-4 voting logic</t>
  </si>
  <si>
    <t xml:space="preserve">Energy Conversion System </t>
  </si>
  <si>
    <t>$/kWe</t>
  </si>
  <si>
    <t>BoP Power kWe</t>
  </si>
  <si>
    <t>https://www.osti.gov/biblio/2447366</t>
  </si>
  <si>
    <t>Common Instrumentation &amp; Controls</t>
  </si>
  <si>
    <t>First Core Mining</t>
  </si>
  <si>
    <t>Natural Uranium Mass</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</si>
  <si>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</si>
  <si>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</si>
  <si>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 xml:space="preserve">First Core Conversion </t>
  </si>
  <si>
    <t xml:space="preserve">First Core Enrichment </t>
  </si>
  <si>
    <t>$/SWU</t>
  </si>
  <si>
    <t>SWU</t>
  </si>
  <si>
    <t>TRISO Fueled</t>
  </si>
  <si>
    <t>No</t>
  </si>
  <si>
    <t>UN</t>
  </si>
  <si>
    <t>Uranium Mass</t>
  </si>
  <si>
    <t>UZr</t>
  </si>
  <si>
    <t>https://sai.inl.gov/content/uploads/29/2024/11/module_d1-6_rev01.pdf
Table 2</t>
  </si>
  <si>
    <t>UC</t>
  </si>
  <si>
    <t>UZrH_alloy</t>
  </si>
  <si>
    <t>UO2</t>
  </si>
  <si>
    <t>Miscellaneous Equipment (Cranes)</t>
  </si>
  <si>
    <t>Abou-Jaoude, A., Arafat, Yasir, Foss, Andrew Wilkin, and Dixon, Brent W (2021). An Economics-by-Design Approach Applied to a Heat Pipe Microreactor Concept. 2021. Idaho National Laboratory: Idaho Falls, ID, Idaho National Laboratory.</t>
  </si>
  <si>
    <t>Reactor Transportation to Site</t>
  </si>
  <si>
    <t>$/mile</t>
  </si>
  <si>
    <t>Transport Distance</t>
  </si>
  <si>
    <t>miles</t>
  </si>
  <si>
    <t>Outbound delivery of the fresh/unfueled unit; full formula (line-haul + nuclear/escort premiums + fixed packaging/permit/mobilization/security/state fees) is in non_standard_cost_scale account 27. Set Transport Distance=0 to disable.</t>
  </si>
  <si>
    <t>Operation Mode</t>
  </si>
  <si>
    <t>Remotely Monitored</t>
  </si>
  <si>
    <t>Autonomous</t>
  </si>
  <si>
    <t>Variable Non-Fuel Costs</t>
  </si>
  <si>
    <t>Replacement Coolant Inventory</t>
  </si>
  <si>
    <t>Reactor Return Transport</t>
  </si>
  <si>
    <t>Recurring return of the activated unit for servicing; per-trip cost x Annual Reactor Return Frequency, computed in non_standard_cost_scale account 722. Set the frequency or Transport Distance to 0 to disable.</t>
  </si>
  <si>
    <t>Regulatory Costs</t>
  </si>
  <si>
    <t>https://www.federalregister.gov/documents/2025/02/19/2025-02779/fee-schedules-fee-recovery-for-fiscal-year-2025</t>
  </si>
  <si>
    <t>Venneri, (2023) and INL/EXT-21-63067</t>
  </si>
  <si>
    <t>Implemented on non_direct_cost.py
Cost is scaled as a fraction of CAPEX unless specific parameters are added to indicate more/less frequent replacements (e.g. GCMR)</t>
  </si>
  <si>
    <t>Annualized RPV Replacements</t>
  </si>
  <si>
    <t>Annualized Core Barrel Replacements</t>
  </si>
  <si>
    <t>Annualized Moderator Replacements</t>
  </si>
  <si>
    <t>Annualized Reflector Replacements</t>
  </si>
  <si>
    <t>Annualized Reactivity Control Replacements</t>
  </si>
  <si>
    <t>Annualized Integrated Heat Transfer System Replacements</t>
  </si>
  <si>
    <t>Annualized Misc. Replacements</t>
  </si>
  <si>
    <t>Implemented on non_direct_cost.py
The cost is scaled as a fraction of CAPEX (15%)</t>
  </si>
  <si>
    <t>Annualized Fuel Cost</t>
  </si>
  <si>
    <t>Refueling Operations</t>
  </si>
  <si>
    <t>Additional Nuclear Fuel</t>
  </si>
  <si>
    <t>Spent Fuel Management</t>
  </si>
  <si>
    <t>$/MWeHour</t>
  </si>
  <si>
    <t>Annual Electricity Production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</si>
</sst>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
    <numFmt numFmtId="165" formatCode="#,##0.000"/>
  </numFmts>
  <fonts count="13" x14ac:knownFonts="1">
    <font>
      <sz val="11"/>
      <color theme="1"/>
      <name val="Calibri"/>
      <family val="2"/>
      <scheme val="minor"/>
    </font>
    <font>
      <b/>
      <sz val="10"/>
      <color rgb="FF000000"/>
      <name val="Times New Roman"/>
      <family val="2"/>
    </font>
    <font>
      <sz val="10"/>
      <color rgb="FF000000"/>
      <name val="Times New Roman"/>
      <family val="2"/>
    </font>
    <font>
      <u/>
      <sz val="10"/>
      <color rgb="FF000000"/>
      <name val="Times New Roman"/>
      <family val="2"/>
    </font>
    <font>
      <u/>
      <sz val="11"/>
      <color rgb="FF000000"/>
      <name val="Calibri"/>
      <family val="2"/>
    </font>
    <font>
      <sz val="10"/>
      <color rgb="FF000000"/>
      <name val="Calibri"/>
      <family val="2"/>
    </font>
    <font>
      <b/>
      <sz val="11"/>
      <color rgb="FF000000"/>
      <name val="Calibri"/>
      <family val="2"/>
    </font>
    <font>
      <sz val="11"/>
      <color theme="1"/>
      <name val="Calibri"/>
      <family val="2"/>
    </font>
    <font>
      <b/>
      <sz val="12"/>
      <color rgb="FF000000"/>
      <name val="Times New Roman"/>
      <family val="2"/>
    </font>
    <font>
      <sz val="10"/>
      <color rgb="FF212529"/>
      <name val="Times New Roman"/>
      <family val="2"/>
    </font>
    <font>
      <sz val="10"/>
      <color rgb="FF383a42"/>
      <name val="Menlo"/>
      <family val="2"/>
    </font>
    <font>
      <sz val="10"/>
      <color rgb="FF0000ff"/>
      <name val="Times New Roman"/>
      <family val="2"/>
    </font>
    <font>
      <b/>
      <sz val="10"/>
      <color rgb="FF0000ff"/>
      <name val="Times New Roman"/>
      <family val="2"/>
    </font>
  </fonts>
  <fills count="4">
    <fill>
      <patternFill patternType="none"/>
    </fill>
    <fill>
      <patternFill patternType="gray125"/>
    </fill>
    <fill>
      <patternFill patternType="solid">
        <fgColor rgb="FFffff00"/>
      </patternFill>
    </fill>
    <fill>
      <patternFill patternType="solid">
        <fgColor rgb="FFf2f2f2"/>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47">
    <xf xfId="0" numFmtId="0" borderId="0" fontId="0" fillId="0"/>
    <xf xfId="0" numFmtId="3" applyNumberFormat="1" borderId="1" applyBorder="1" fontId="1" applyFont="1" fillId="0" applyAlignment="1">
      <alignment horizontal="left" wrapText="1"/>
    </xf>
    <xf xfId="0" numFmtId="0" borderId="1" applyBorder="1" fontId="1" applyFont="1" fillId="0" applyAlignment="1">
      <alignment horizontal="left" wrapText="1"/>
    </xf>
    <xf xfId="0" numFmtId="4" applyNumberFormat="1" borderId="1" applyBorder="1" fontId="1" applyFont="1" fillId="0" applyAlignment="1">
      <alignment horizontal="left" wrapText="1"/>
    </xf>
    <xf xfId="0" numFmtId="0" borderId="1" applyBorder="1" fontId="1" applyFont="1" fillId="0" applyAlignment="1">
      <alignment horizontal="left"/>
    </xf>
    <xf xfId="0" numFmtId="164" applyNumberFormat="1" borderId="1" applyBorder="1" fontId="1" applyFont="1" fillId="0" applyAlignment="1">
      <alignment horizontal="left" wrapText="1"/>
    </xf>
    <xf xfId="0" numFmtId="3" applyNumberFormat="1" borderId="1" applyBorder="1" fontId="1" applyFont="1" fillId="0" applyAlignment="1">
      <alignment horizontal="left"/>
    </xf>
    <xf xfId="0" numFmtId="0" borderId="1" applyBorder="1" fontId="2" applyFont="1" fillId="0" applyAlignment="1">
      <alignment horizontal="left" wrapText="1"/>
    </xf>
    <xf xfId="0" numFmtId="0" borderId="1" applyBorder="1" fontId="2" applyFont="1" fillId="0" applyAlignment="1">
      <alignment horizontal="left" wrapText="1"/>
    </xf>
    <xf xfId="0" numFmtId="3" applyNumberFormat="1" borderId="1" applyBorder="1" fontId="2" applyFont="1" fillId="0" applyAlignment="1">
      <alignment horizontal="left" wrapText="1"/>
    </xf>
    <xf xfId="0" numFmtId="4" applyNumberFormat="1" borderId="1" applyBorder="1" fontId="2" applyFont="1" fillId="0" applyAlignment="1">
      <alignment horizontal="left" wrapText="1"/>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4" applyNumberFormat="1" borderId="1" applyBorder="1" fontId="1" applyFont="1" fillId="0" applyAlignment="1">
      <alignment horizontal="right"/>
    </xf>
    <xf xfId="0" numFmtId="3" applyNumberFormat="1" borderId="1" applyBorder="1" fontId="2" applyFont="1" fillId="0" applyAlignment="1">
      <alignment horizontal="right"/>
    </xf>
    <xf xfId="0" numFmtId="0" borderId="1" applyBorder="1" fontId="2" applyFont="1" fillId="0" applyAlignment="1">
      <alignment horizontal="left"/>
    </xf>
    <xf xfId="0" numFmtId="0" borderId="1" applyBorder="1" fontId="2" applyFont="1" fillId="0" applyAlignment="1">
      <alignment horizontal="left" vertical="top" wrapText="1"/>
    </xf>
    <xf xfId="0" numFmtId="0" borderId="1" applyBorder="1" fontId="3" applyFont="1" fillId="0" applyAlignment="1">
      <alignment horizontal="left" vertical="top"/>
    </xf>
    <xf xfId="0" numFmtId="3" applyNumberFormat="1" borderId="1" applyBorder="1" fontId="1" applyFont="1" fillId="0" applyAlignment="1">
      <alignment horizontal="right" wrapText="1"/>
    </xf>
    <xf xfId="0" numFmtId="3" applyNumberFormat="1" borderId="1" applyBorder="1" fontId="2" applyFont="1" fillId="0" applyAlignment="1">
      <alignment horizontal="right" wrapText="1"/>
    </xf>
    <xf xfId="0" numFmtId="3" applyNumberFormat="1" borderId="1" applyBorder="1" fontId="2" applyFont="1" fillId="0" applyAlignment="1">
      <alignment horizontal="left"/>
    </xf>
    <xf xfId="0" numFmtId="164" applyNumberFormat="1" borderId="1" applyBorder="1" fontId="2" applyFont="1" fillId="0" applyAlignment="1">
      <alignment horizontal="left"/>
    </xf>
    <xf xfId="0" numFmtId="0" borderId="1" applyBorder="1" fontId="3" applyFont="1" fillId="0" applyAlignment="1">
      <alignment horizontal="left" vertical="top" wrapText="1"/>
    </xf>
    <xf xfId="0" numFmtId="4" applyNumberFormat="1" borderId="1" applyBorder="1" fontId="2" applyFont="1" fillId="0" applyAlignment="1">
      <alignment horizontal="left"/>
    </xf>
    <xf xfId="0" numFmtId="0" borderId="1" applyBorder="1" fontId="3" applyFont="1" fillId="0" applyAlignment="1">
      <alignment horizontal="left"/>
    </xf>
    <xf xfId="0" numFmtId="0" borderId="1" applyBorder="1" fontId="4" applyFont="1" fillId="0" applyAlignment="1">
      <alignment horizontal="left"/>
    </xf>
    <xf xfId="0" numFmtId="3" applyNumberFormat="1" borderId="1" applyBorder="1" fontId="1" applyFont="1" fillId="2" applyFill="1" applyAlignment="1">
      <alignment horizontal="left"/>
    </xf>
    <xf xfId="0" numFmtId="0" borderId="1" applyBorder="1" fontId="2" applyFont="1" fillId="2" applyFill="1" applyAlignment="1">
      <alignment horizontal="left" wrapText="1"/>
    </xf>
    <xf xfId="0" numFmtId="0" borderId="1" applyBorder="1" fontId="2" applyFont="1" fillId="2" applyFill="1" applyAlignment="1">
      <alignment horizontal="left" wrapText="1"/>
    </xf>
    <xf xfId="0" numFmtId="4" applyNumberFormat="1" borderId="1" applyBorder="1" fontId="2" applyFont="1" fillId="2" applyFill="1" applyAlignment="1">
      <alignment horizontal="left" wrapText="1"/>
    </xf>
    <xf xfId="0" numFmtId="3" applyNumberFormat="1" borderId="1" applyBorder="1" fontId="2" applyFont="1" fillId="2" applyFill="1" applyAlignment="1">
      <alignment horizontal="left" wrapText="1"/>
    </xf>
    <xf xfId="0" numFmtId="3" applyNumberFormat="1" borderId="1" applyBorder="1" fontId="2" applyFont="1" fillId="2" applyFill="1" applyAlignment="1">
      <alignment horizontal="right"/>
    </xf>
    <xf xfId="0" numFmtId="0" borderId="1" applyBorder="1" fontId="2" applyFont="1" fillId="2" applyFill="1" applyAlignment="1">
      <alignment horizontal="left"/>
    </xf>
    <xf xfId="0" numFmtId="4" applyNumberFormat="1" borderId="1" applyBorder="1" fontId="2" applyFont="1" fillId="2" applyFill="1" applyAlignment="1">
      <alignment horizontal="right"/>
    </xf>
    <xf xfId="0" numFmtId="0" borderId="1" applyBorder="1" fontId="1" applyFont="1" fillId="2" applyFill="1" applyAlignment="1">
      <alignment horizontal="left"/>
    </xf>
    <xf xfId="0" numFmtId="164" applyNumberFormat="1" borderId="1" applyBorder="1" fontId="1" applyFont="1" fillId="2" applyFill="1" applyAlignment="1">
      <alignment horizontal="right"/>
    </xf>
    <xf xfId="0" numFmtId="4" applyNumberFormat="1" borderId="1" applyBorder="1" fontId="1" applyFont="1" fillId="2" applyFill="1" applyAlignment="1">
      <alignment horizontal="right"/>
    </xf>
    <xf xfId="0" numFmtId="3" applyNumberFormat="1" borderId="1" applyBorder="1" fontId="1" applyFont="1" fillId="2" applyFill="1" applyAlignment="1">
      <alignment horizontal="right"/>
    </xf>
    <xf xfId="0" numFmtId="4" applyNumberFormat="1" borderId="1" applyBorder="1" fontId="1" applyFont="1" fillId="0" applyAlignment="1">
      <alignment horizontal="left"/>
    </xf>
    <xf xfId="0" numFmtId="4" applyNumberFormat="1" borderId="1" applyBorder="1" fontId="2" applyFont="1" fillId="0" applyAlignment="1">
      <alignment horizontal="right"/>
    </xf>
    <xf xfId="0" numFmtId="0" borderId="1" applyBorder="1" fontId="2" applyFont="1" fillId="0" applyAlignment="1">
      <alignment horizontal="center" vertical="top" wrapText="1"/>
    </xf>
    <xf xfId="0" numFmtId="0" borderId="1" applyBorder="1" fontId="2" applyFont="1" fillId="0" applyAlignment="1">
      <alignment horizontal="center" wrapText="1"/>
    </xf>
    <xf xfId="0" numFmtId="4" applyNumberFormat="1" borderId="1" applyBorder="1" fontId="5" applyFont="1" fillId="0" applyAlignment="1">
      <alignment horizontal="left" wrapText="1"/>
    </xf>
    <xf xfId="0" numFmtId="0" borderId="1" applyBorder="1" fontId="5" applyFont="1" fillId="0" applyAlignment="1">
      <alignment horizontal="left" wrapText="1"/>
    </xf>
    <xf xfId="0" numFmtId="3" applyNumberFormat="1" borderId="1" applyBorder="1" fontId="5" applyFont="1" fillId="0" applyAlignment="1">
      <alignment horizontal="right"/>
    </xf>
    <xf xfId="0" numFmtId="0" borderId="1" applyBorder="1" fontId="5" applyFont="1" fillId="0" applyAlignment="1">
      <alignment horizontal="left"/>
    </xf>
    <xf xfId="0" numFmtId="3" applyNumberFormat="1" borderId="1" applyBorder="1" fontId="5" applyFont="1" fillId="0" applyAlignment="1">
      <alignment horizontal="left"/>
    </xf>
    <xf xfId="0" numFmtId="164" applyNumberFormat="1" borderId="1" applyBorder="1" fontId="5" applyFont="1" fillId="0" applyAlignment="1">
      <alignment horizontal="right"/>
    </xf>
    <xf xfId="0" numFmtId="4" applyNumberFormat="1" borderId="1" applyBorder="1" fontId="5" applyFont="1" fillId="0" applyAlignment="1">
      <alignment horizontal="right"/>
    </xf>
    <xf xfId="0" numFmtId="3" applyNumberFormat="1" borderId="0" fontId="0" fillId="0" applyAlignment="1">
      <alignment horizontal="left"/>
    </xf>
    <xf xfId="0" numFmtId="0" borderId="0" fontId="0" fillId="0" applyAlignment="1">
      <alignment horizontal="general"/>
    </xf>
    <xf xfId="0" numFmtId="0" borderId="0" fontId="0" fillId="0" applyAlignment="1">
      <alignment horizontal="left" wrapText="1"/>
    </xf>
    <xf xfId="0" numFmtId="4" applyNumberFormat="1" borderId="0" fontId="0" fillId="0" applyAlignment="1">
      <alignment horizontal="left" wrapText="1"/>
    </xf>
    <xf xfId="0" numFmtId="0" borderId="0" fontId="0" fillId="0" applyAlignment="1">
      <alignment horizontal="left"/>
    </xf>
    <xf xfId="0" numFmtId="3" applyNumberFormat="1" borderId="0" fontId="0" fillId="0" applyAlignment="1">
      <alignment horizontal="right"/>
    </xf>
    <xf xfId="0" numFmtId="3" applyNumberFormat="1" borderId="0" fontId="0" fillId="0" applyAlignment="1">
      <alignment horizontal="general"/>
    </xf>
    <xf xfId="0" numFmtId="164" applyNumberFormat="1" borderId="0" fontId="0" fillId="0" applyAlignment="1">
      <alignment horizontal="right"/>
    </xf>
    <xf xfId="0" numFmtId="4" applyNumberFormat="1" borderId="0" fontId="0" fillId="0" applyAlignment="1">
      <alignment horizontal="right"/>
    </xf>
    <xf xfId="0" numFmtId="0" borderId="2" applyBorder="1" fontId="6" applyFont="1" fillId="0" applyAlignment="1">
      <alignment horizontal="left"/>
    </xf>
    <xf xfId="0" numFmtId="4" applyNumberFormat="1" borderId="2" applyBorder="1" fontId="6" applyFont="1" fillId="0" applyAlignment="1">
      <alignment horizontal="left"/>
    </xf>
    <xf xfId="0" numFmtId="0" borderId="2" applyBorder="1" fontId="6" applyFont="1" fillId="0" applyAlignment="1">
      <alignment horizontal="left" wrapText="1"/>
    </xf>
    <xf xfId="0" numFmtId="0" borderId="0" fontId="0" fillId="0" applyAlignment="1">
      <alignment horizontal="general"/>
    </xf>
    <xf xfId="0" numFmtId="165" applyNumberFormat="1" borderId="2" applyBorder="1" fontId="7" applyFont="1" fillId="0" applyAlignment="1">
      <alignment horizontal="right"/>
    </xf>
    <xf xfId="0" numFmtId="0" borderId="0" fontId="0" fillId="0" applyAlignment="1">
      <alignment horizontal="center" wrapText="1"/>
    </xf>
    <xf xfId="0" numFmtId="0" borderId="0" fontId="0" fillId="0" applyAlignment="1">
      <alignment horizontal="general" wrapText="1"/>
    </xf>
    <xf xfId="0" numFmtId="3" applyNumberFormat="1" borderId="2" applyBorder="1" fontId="7" applyFont="1" fillId="0" applyAlignment="1">
      <alignment horizontal="right"/>
    </xf>
    <xf xfId="0" numFmtId="4" applyNumberFormat="1" borderId="2" applyBorder="1" fontId="7" applyFont="1" fillId="0" applyAlignment="1">
      <alignment horizontal="right"/>
    </xf>
    <xf xfId="0" numFmtId="0" borderId="2" applyBorder="1" fontId="7" applyFont="1" fillId="0" applyAlignment="1">
      <alignment horizontal="center" vertical="top" wrapText="1"/>
    </xf>
    <xf xfId="0" numFmtId="0" borderId="2" applyBorder="1" fontId="5" applyFont="1" fillId="0" applyAlignment="1">
      <alignment horizontal="left"/>
    </xf>
    <xf xfId="0" numFmtId="0" borderId="2" applyBorder="1" fontId="7" applyFont="1" fillId="0" applyAlignment="1">
      <alignment horizontal="center" wrapText="1"/>
    </xf>
    <xf xfId="0" numFmtId="0" borderId="0" fontId="0" fillId="0" applyAlignment="1">
      <alignment horizontal="center" wrapText="1"/>
    </xf>
    <xf xfId="0" numFmtId="0" borderId="0" fontId="0" fillId="0" applyAlignment="1">
      <alignment horizontal="general" wrapText="1"/>
    </xf>
    <xf xfId="0" numFmtId="3" applyNumberFormat="1" borderId="2" applyBorder="1" fontId="6" applyFont="1" fillId="0" applyAlignment="1">
      <alignment horizontal="center"/>
    </xf>
    <xf xfId="0" numFmtId="165" applyNumberFormat="1" borderId="2" applyBorder="1" fontId="6" applyFont="1" fillId="0" applyAlignment="1">
      <alignment horizontal="center"/>
    </xf>
    <xf xfId="0" numFmtId="165" applyNumberFormat="1" borderId="0" fontId="0" fillId="0" applyAlignment="1">
      <alignment horizontal="right"/>
    </xf>
    <xf xfId="0" numFmtId="0" borderId="3" applyBorder="1" fontId="8" applyFont="1" fillId="3" applyFill="1" applyAlignment="1">
      <alignment horizontal="center"/>
    </xf>
    <xf xfId="0" numFmtId="4" applyNumberFormat="1" borderId="4" applyBorder="1" fontId="8" applyFont="1" fillId="3" applyFill="1" applyAlignment="1">
      <alignment horizontal="center"/>
    </xf>
    <xf xfId="0" numFmtId="0" borderId="4" applyBorder="1" fontId="8" applyFont="1" fillId="3" applyFill="1" applyAlignment="1">
      <alignment horizontal="center"/>
    </xf>
    <xf xfId="0" numFmtId="0" borderId="3" applyBorder="1" fontId="2" applyFont="1" fillId="3" applyFill="1" applyAlignment="1">
      <alignment horizontal="center"/>
    </xf>
    <xf xfId="0" numFmtId="4" applyNumberFormat="1" borderId="3" applyBorder="1" fontId="2" applyFont="1" fillId="3" applyFill="1" applyAlignment="1">
      <alignment horizontal="center"/>
    </xf>
    <xf xfId="0" numFmtId="0" borderId="5" applyBorder="1" fontId="2" applyFont="1" fillId="0" applyAlignment="1">
      <alignment horizontal="left"/>
    </xf>
    <xf xfId="0" numFmtId="3" applyNumberFormat="1" borderId="6" applyBorder="1" fontId="2" applyFont="1" fillId="0" applyAlignment="1">
      <alignment horizontal="right"/>
    </xf>
    <xf xfId="0" numFmtId="0" borderId="6" applyBorder="1" fontId="2" applyFont="1" fillId="0" applyAlignment="1">
      <alignment horizontal="left"/>
    </xf>
    <xf xfId="0" numFmtId="4" applyNumberFormat="1" borderId="6" applyBorder="1" fontId="2" applyFont="1" fillId="0" applyAlignment="1">
      <alignment horizontal="right"/>
    </xf>
    <xf xfId="0" numFmtId="0" borderId="7" applyBorder="1" fontId="2" applyFont="1" fillId="2" applyFill="1" applyAlignment="1">
      <alignment horizontal="left"/>
    </xf>
    <xf xfId="0" numFmtId="3" applyNumberFormat="1" borderId="8" applyBorder="1" fontId="2" applyFont="1" fillId="2" applyFill="1" applyAlignment="1">
      <alignment horizontal="right"/>
    </xf>
    <xf xfId="0" numFmtId="0" borderId="8" applyBorder="1" fontId="2" applyFont="1" fillId="2" applyFill="1" applyAlignment="1">
      <alignment horizontal="left"/>
    </xf>
    <xf xfId="0" numFmtId="0" borderId="8" applyBorder="1" fontId="2" applyFont="1" fillId="2" applyFill="1" applyAlignment="1">
      <alignment horizontal="left" wrapText="1"/>
    </xf>
    <xf xfId="0" numFmtId="0" borderId="0" fontId="0" fillId="0" applyAlignment="1">
      <alignment wrapText="1"/>
    </xf>
    <xf xfId="0" numFmtId="4" applyNumberFormat="1" borderId="1" applyBorder="1" fontId="6" applyFont="1" fillId="2" applyFill="1" applyAlignment="1">
      <alignment horizontal="left" vertical="top" wrapText="1"/>
    </xf>
    <xf xfId="0" numFmtId="0" borderId="1" applyBorder="1" fontId="6" applyFont="1" fillId="2" applyFill="1" applyAlignment="1">
      <alignment horizontal="center" vertical="top" wrapText="1"/>
    </xf>
    <xf xfId="0" numFmtId="3" applyNumberFormat="1" borderId="1" applyBorder="1" fontId="6" applyFont="1" fillId="2" applyFill="1" applyAlignment="1">
      <alignment horizontal="center" vertical="top" wrapText="1"/>
    </xf>
    <xf xfId="0" numFmtId="4" applyNumberFormat="1" borderId="1" applyBorder="1" fontId="6" applyFont="1" fillId="2" applyFill="1" applyAlignment="1">
      <alignment horizontal="left" wrapText="1"/>
    </xf>
    <xf xfId="0" numFmtId="0" borderId="1" applyBorder="1" fontId="6" applyFont="1" fillId="2" applyFill="1" applyAlignment="1">
      <alignment horizontal="left" wrapText="1"/>
    </xf>
    <xf xfId="0" numFmtId="3" applyNumberFormat="1" borderId="1" applyBorder="1" fontId="6" applyFont="1" fillId="2" applyFill="1" applyAlignment="1">
      <alignment horizontal="left" wrapText="1"/>
    </xf>
    <xf xfId="0" numFmtId="4" applyNumberFormat="1" borderId="1" applyBorder="1" fontId="6" applyFont="1" fillId="0" applyAlignment="1">
      <alignment horizontal="left"/>
    </xf>
    <xf xfId="0" numFmtId="0" borderId="1" applyBorder="1" fontId="6" applyFont="1" fillId="0" applyAlignment="1">
      <alignment horizontal="left" wrapText="1"/>
    </xf>
    <xf xfId="0" numFmtId="3" applyNumberFormat="1" borderId="1" applyBorder="1" fontId="6" applyFont="1" fillId="0" applyAlignment="1">
      <alignment horizontal="right"/>
    </xf>
    <xf xfId="0" numFmtId="4" applyNumberFormat="1" borderId="1" applyBorder="1" fontId="7" applyFont="1" fillId="0" applyAlignment="1">
      <alignment horizontal="left"/>
    </xf>
    <xf xfId="0" numFmtId="0" borderId="1" applyBorder="1" fontId="7" applyFont="1" fillId="0" applyAlignment="1">
      <alignment horizontal="left" wrapText="1"/>
    </xf>
    <xf xfId="0" numFmtId="3" applyNumberFormat="1" borderId="1" applyBorder="1" fontId="7" applyFont="1" fillId="0" applyAlignment="1">
      <alignment horizontal="right"/>
    </xf>
    <xf xfId="0" numFmtId="4" applyNumberFormat="1" borderId="3" applyBorder="1" fontId="2" applyFont="1" fillId="0" applyAlignment="1">
      <alignment horizontal="left"/>
    </xf>
    <xf xfId="0" numFmtId="0" borderId="5" applyBorder="1" fontId="2" applyFont="1" fillId="0" applyAlignment="1">
      <alignment horizontal="left" wrapText="1"/>
    </xf>
    <xf xfId="0" numFmtId="3" applyNumberFormat="1" borderId="0" fontId="0" fillId="0" applyAlignment="1">
      <alignment horizontal="right"/>
    </xf>
    <xf xfId="0" numFmtId="165" applyNumberFormat="1" borderId="1" applyBorder="1" fontId="7" applyFont="1" fillId="0" applyAlignment="1">
      <alignment horizontal="left"/>
    </xf>
    <xf xfId="0" numFmtId="2" applyNumberFormat="1" borderId="1" applyBorder="1" fontId="7" applyFont="1" fillId="0" applyAlignment="1">
      <alignment horizontal="left"/>
    </xf>
    <xf xfId="0" numFmtId="4" applyNumberFormat="1" borderId="1" applyBorder="1" fontId="7" applyFont="1" fillId="0" applyAlignment="1">
      <alignment horizontal="left" wrapText="1"/>
    </xf>
    <xf xfId="0" numFmtId="4" applyNumberFormat="1" borderId="0" fontId="0" fillId="0" applyAlignment="1">
      <alignment horizontal="left"/>
    </xf>
    <xf xfId="0" numFmtId="0" borderId="2" applyBorder="1" fontId="7" applyFont="1" fillId="0" applyAlignment="1">
      <alignment horizontal="left" wrapText="1"/>
    </xf>
    <xf xfId="0" numFmtId="0" borderId="1" applyBorder="1" fontId="3" applyFont="1" fillId="0" applyAlignment="1">
      <alignment horizontal="left" wrapText="1"/>
    </xf>
    <xf xfId="0" numFmtId="0" borderId="1" applyBorder="1" fontId="2" applyFont="1" fillId="0" applyAlignment="1">
      <alignment horizontal="center" vertical="top"/>
    </xf>
    <xf xfId="0" numFmtId="0" borderId="1" applyBorder="1" fontId="2" applyFont="1" fillId="0" applyAlignment="1">
      <alignment horizontal="center"/>
    </xf>
    <xf xfId="0" numFmtId="3" applyNumberFormat="1" borderId="1" applyBorder="1" fontId="9" applyFont="1" fillId="0" applyAlignment="1">
      <alignment horizontal="right"/>
    </xf>
    <xf xfId="0" numFmtId="0" borderId="2" applyBorder="1" fontId="10" applyFont="1" fillId="0" applyAlignment="1">
      <alignment horizontal="left"/>
    </xf>
    <xf xfId="0" numFmtId="0" borderId="9" applyBorder="1" fontId="2" applyFont="1" fillId="0" applyAlignment="1">
      <alignment horizontal="center" vertical="top" wrapText="1"/>
    </xf>
    <xf xfId="0" numFmtId="0" borderId="9" applyBorder="1" fontId="2" applyFont="1" fillId="0" applyAlignment="1">
      <alignment horizontal="center" wrapText="1"/>
    </xf>
    <xf xfId="0" numFmtId="0" borderId="10" applyBorder="1" fontId="7" applyFont="1" fillId="0" applyAlignment="1">
      <alignment horizontal="left"/>
    </xf>
    <xf xfId="0" numFmtId="0" borderId="1" applyBorder="1" fontId="11" applyFont="1" fillId="0" applyAlignment="1">
      <alignment horizontal="left" wrapText="1"/>
    </xf>
    <xf xfId="0" numFmtId="0" borderId="11" applyBorder="1" fontId="7" applyFont="1" fillId="0" applyAlignment="1">
      <alignment horizontal="left"/>
    </xf>
    <xf xfId="0" numFmtId="3" applyNumberFormat="1" borderId="1" applyBorder="1" fontId="12" applyFont="1" fillId="0" applyAlignment="1">
      <alignment horizontal="right"/>
    </xf>
    <xf xfId="0" numFmtId="4" applyNumberFormat="1" borderId="10" applyBorder="1" fontId="2" applyFont="1" fillId="0" applyAlignment="1">
      <alignment horizontal="left"/>
    </xf>
    <xf xfId="0" numFmtId="3" applyNumberFormat="1" borderId="10" applyBorder="1" fontId="1" applyFont="1" fillId="0" applyAlignment="1">
      <alignment horizontal="left"/>
    </xf>
    <xf xfId="0" numFmtId="3" applyNumberFormat="1" borderId="2" applyBorder="1" fontId="2" applyFont="1" fillId="0" applyAlignment="1">
      <alignment horizontal="left" wrapText="1"/>
    </xf>
    <xf xfId="0" numFmtId="3" applyNumberFormat="1" borderId="0" fontId="0" fillId="0" applyAlignment="1">
      <alignment horizontal="general"/>
    </xf>
    <xf xfId="0" numFmtId="164" applyNumberFormat="1" borderId="0" fontId="0" fillId="0" applyAlignment="1">
      <alignment horizontal="right"/>
    </xf>
    <xf xfId="0" numFmtId="0" borderId="2" applyBorder="1" fontId="5" applyFont="1" fillId="0" applyAlignment="1">
      <alignment horizontal="left" vertical="top"/>
    </xf>
    <xf xfId="0" numFmtId="0" borderId="1" applyBorder="1" fontId="3" applyFont="1" fillId="0" applyAlignment="1">
      <alignment horizontal="center" wrapText="1"/>
    </xf>
    <xf xfId="0" numFmtId="0" borderId="1" applyBorder="1" fontId="2" applyFont="1" fillId="0" applyAlignment="1">
      <alignment horizontal="left" vertical="top"/>
    </xf>
    <xf xfId="0" numFmtId="0" borderId="9" applyBorder="1" fontId="2" applyFont="1" fillId="0" applyAlignment="1">
      <alignment horizontal="left" vertical="top" wrapText="1"/>
    </xf>
    <xf xfId="0" numFmtId="0" borderId="9" applyBorder="1" fontId="2" applyFont="1" fillId="0" applyAlignment="1">
      <alignment horizontal="left" vertical="top"/>
    </xf>
    <xf xfId="0" numFmtId="0" borderId="9" applyBorder="1" fontId="2" applyFont="1" fillId="0" applyAlignment="1">
      <alignment horizontal="left" wrapText="1"/>
    </xf>
    <xf xfId="0" numFmtId="0" borderId="10" applyBorder="1" fontId="7" applyFont="1" fillId="0" applyAlignment="1">
      <alignment horizontal="left" vertical="top"/>
    </xf>
    <xf xfId="0" numFmtId="0" borderId="10" applyBorder="1" fontId="4" applyFont="1" fillId="0" applyAlignment="1">
      <alignment horizontal="left" wrapText="1"/>
    </xf>
    <xf xfId="0" numFmtId="165" applyNumberFormat="1" borderId="1" applyBorder="1" fontId="2" applyFont="1" fillId="0" applyAlignment="1">
      <alignment horizontal="right"/>
    </xf>
    <xf xfId="0" numFmtId="0" borderId="9" applyBorder="1" fontId="2" applyFont="1" fillId="0" applyAlignment="1">
      <alignment horizontal="left"/>
    </xf>
    <xf xfId="0" numFmtId="3" applyNumberFormat="1" borderId="2" applyBorder="1" fontId="2" applyFont="1" fillId="0" applyAlignment="1">
      <alignment horizontal="left"/>
    </xf>
    <xf xfId="0" numFmtId="3" applyNumberFormat="1" borderId="2" applyBorder="1" fontId="1" applyFont="1" fillId="0" applyAlignment="1">
      <alignment horizontal="left"/>
    </xf>
    <xf xfId="0" numFmtId="0" borderId="2" applyBorder="1" fontId="2" applyFont="1" fillId="0" applyAlignment="1">
      <alignment horizontal="left" wrapText="1"/>
    </xf>
    <xf xfId="0" numFmtId="3" applyNumberFormat="1" borderId="2" applyBorder="1" fontId="11" applyFont="1" fillId="0" applyAlignment="1">
      <alignment horizontal="left" wrapText="1"/>
    </xf>
    <xf xfId="0" numFmtId="3" applyNumberFormat="1" borderId="2" applyBorder="1" fontId="2" applyFont="1" fillId="0" applyAlignment="1">
      <alignment horizontal="right"/>
    </xf>
    <xf xfId="0" numFmtId="0" borderId="2" applyBorder="1" fontId="2" applyFont="1" fillId="0" applyAlignment="1">
      <alignment horizontal="left"/>
    </xf>
    <xf xfId="0" numFmtId="0" borderId="2" applyBorder="1" fontId="1" applyFont="1" fillId="0" applyAlignment="1">
      <alignment horizontal="left"/>
    </xf>
    <xf xfId="0" numFmtId="164" applyNumberFormat="1" borderId="2" applyBorder="1" fontId="1" applyFont="1" fillId="0" applyAlignment="1">
      <alignment horizontal="right"/>
    </xf>
    <xf xfId="0" numFmtId="4" applyNumberFormat="1" borderId="2" applyBorder="1" fontId="12" applyFont="1" fillId="0" applyAlignment="1">
      <alignment horizontal="right"/>
    </xf>
    <xf xfId="0" numFmtId="4" applyNumberFormat="1" borderId="2" applyBorder="1" fontId="1" applyFont="1" fillId="0" applyAlignment="1">
      <alignment horizontal="right"/>
    </xf>
    <xf xfId="0" numFmtId="3" applyNumberFormat="1" borderId="2" applyBorder="1" fontId="1" applyFont="1" fillId="0" applyAlignment="1">
      <alignment horizontal="right"/>
    </xf>
    <xf xfId="0" numFmtId="3"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211"/>
  <sheetViews>
    <sheetView workbookViewId="0" tabSelected="1">
      <pane state="frozen" activePane="bottomLeft" topLeftCell="A2" ySplit="1" xSplit="0"/>
    </sheetView>
  </sheetViews>
  <sheetFormatPr defaultRowHeight="15" x14ac:dyDescent="0.25"/>
  <cols>
    <col min="1" max="1" style="49" width="8.719285714285713" customWidth="1" bestFit="1"/>
    <col min="2" max="2" style="49" width="9.576428571428572" customWidth="1" bestFit="1"/>
    <col min="3" max="3" style="50" width="29.576428571428572" customWidth="1" bestFit="1"/>
    <col min="4" max="4" style="51" width="41.71928571428572" customWidth="1" bestFit="1"/>
    <col min="5" max="5" style="51" width="14.290714285714287" customWidth="1" bestFit="1"/>
    <col min="6" max="6" style="51" width="21.290714285714284" customWidth="1" bestFit="1"/>
    <col min="7" max="7" style="51" width="18.433571428571426" customWidth="1" bestFit="1"/>
    <col min="8" max="8" style="51" width="9.147857142857141" customWidth="1" bestFit="1"/>
    <col min="9" max="9" style="146" width="17.719285714285714" customWidth="1" bestFit="1"/>
    <col min="10" max="10" style="54" width="12.290714285714287" customWidth="1" bestFit="1"/>
    <col min="11" max="11" style="54" width="10.005" customWidth="1" bestFit="1"/>
    <col min="12" max="12" style="50" width="10.005" customWidth="1" bestFit="1"/>
    <col min="13" max="13" style="50" width="15.719285714285713" customWidth="1" bestFit="1"/>
    <col min="14" max="14" style="55" width="8.719285714285713" customWidth="1" bestFit="1"/>
    <col min="15" max="15" style="50" width="7.2907142857142855" customWidth="1" bestFit="1"/>
    <col min="16" max="16" style="55" width="7.719285714285714" customWidth="1" bestFit="1"/>
    <col min="17" max="17" style="54" width="8.147857142857141" customWidth="1" bestFit="1"/>
    <col min="18" max="18" style="50" width="21.433571428571426" customWidth="1" bestFit="1"/>
    <col min="19" max="19" style="50" width="29.005" customWidth="1" bestFit="1"/>
    <col min="20" max="20" style="50" width="254.29071428571427" customWidth="1" bestFit="1"/>
    <col min="21" max="21" style="50" width="81.14785714285713" customWidth="1" bestFit="1"/>
    <col min="22" max="22" style="50" width="18.719285714285714" customWidth="1" bestFit="1"/>
    <col min="23" max="23" style="50" width="28.14785714285714" customWidth="1" bestFit="1"/>
    <col min="24" max="24" style="56" width="16.719285714285714" customWidth="1" bestFit="1"/>
    <col min="25" max="25" style="56" width="16.719285714285714" customWidth="1" bestFit="1"/>
    <col min="26" max="26" style="50" width="12.43357142857143" customWidth="1" bestFit="1"/>
    <col min="27" max="27" style="57" width="16.719285714285714" customWidth="1" bestFit="1"/>
    <col min="28" max="28" style="57" width="16.719285714285714" customWidth="1" bestFit="1"/>
    <col min="29" max="29" style="50" width="12.43357142857143" customWidth="1" bestFit="1"/>
    <col min="30" max="30" style="57" width="6.719285714285714" customWidth="1" bestFit="1"/>
    <col min="31" max="31" style="54" width="6.719285714285714" customWidth="1" bestFit="1"/>
    <col min="32" max="32" style="54" width="6.719285714285714" customWidth="1" bestFit="1"/>
    <col min="33" max="33" style="50" width="16.862142857142857" customWidth="1" bestFit="1"/>
    <col min="34" max="34" style="50" width="13.576428571428572" customWidth="1" bestFit="1"/>
    <col min="35" max="35" style="50" width="13.576428571428572" customWidth="1" bestFit="1"/>
    <col min="36" max="36" style="50" width="13.576428571428572" customWidth="1" bestFit="1"/>
  </cols>
  <sheetData>
    <row x14ac:dyDescent="0.25" r="1" customHeight="1" ht="52.5" customFormat="1" s="88">
      <c r="A1" s="1" t="s">
        <v>0</v>
      </c>
      <c r="B1" s="1" t="s">
        <v>1</v>
      </c>
      <c r="C1" s="2" t="s">
        <v>2</v>
      </c>
      <c r="D1" s="2" t="s">
        <v>3</v>
      </c>
      <c r="E1" s="2" t="s">
        <v>4</v>
      </c>
      <c r="F1" s="2" t="s">
        <v>7</v>
      </c>
      <c r="G1" s="2" t="s">
        <v>8</v>
      </c>
      <c r="H1" s="2" t="s">
        <v>441</v>
      </c>
      <c r="I1" s="1" t="s">
        <v>442</v>
      </c>
      <c r="J1" s="1" t="s">
        <v>9</v>
      </c>
      <c r="K1" s="1" t="s">
        <v>10</v>
      </c>
      <c r="L1" s="2" t="s">
        <v>11</v>
      </c>
      <c r="M1" s="2" t="s">
        <v>12</v>
      </c>
      <c r="N1" s="1" t="s">
        <v>13</v>
      </c>
      <c r="O1" s="2" t="s">
        <v>14</v>
      </c>
      <c r="P1" s="1" t="s">
        <v>15</v>
      </c>
      <c r="Q1" s="1" t="s">
        <v>16</v>
      </c>
      <c r="R1" s="2" t="s">
        <v>17</v>
      </c>
      <c r="S1" s="2" t="s">
        <v>18</v>
      </c>
      <c r="T1" s="2" t="s">
        <v>19</v>
      </c>
      <c r="U1" s="2" t="s">
        <v>20</v>
      </c>
      <c r="V1" s="2" t="s">
        <v>21</v>
      </c>
      <c r="W1" s="2" t="s">
        <v>22</v>
      </c>
      <c r="X1" s="5" t="s">
        <v>23</v>
      </c>
      <c r="Y1" s="5" t="s">
        <v>24</v>
      </c>
      <c r="Z1" s="2" t="s">
        <v>25</v>
      </c>
      <c r="AA1" s="3" t="s">
        <v>26</v>
      </c>
      <c r="AB1" s="3" t="s">
        <v>27</v>
      </c>
      <c r="AC1" s="2" t="s">
        <v>28</v>
      </c>
      <c r="AD1" s="3" t="s">
        <v>29</v>
      </c>
      <c r="AE1" s="1" t="s">
        <v>30</v>
      </c>
      <c r="AF1" s="1" t="s">
        <v>31</v>
      </c>
      <c r="AG1" s="2" t="s">
        <v>32</v>
      </c>
      <c r="AH1" s="64"/>
      <c r="AI1" s="64"/>
      <c r="AJ1" s="64"/>
    </row>
    <row x14ac:dyDescent="0.25" r="2" customHeight="1" ht="15">
      <c r="A2" s="6">
        <v>10</v>
      </c>
      <c r="B2" s="6">
        <v>0</v>
      </c>
      <c r="C2" s="7" t="s">
        <v>33</v>
      </c>
      <c r="D2" s="8">
        <f>REPT("   ", B2*2) &amp; C2</f>
      </c>
      <c r="E2" s="9"/>
      <c r="F2" s="9"/>
      <c r="G2" s="9"/>
      <c r="H2" s="9"/>
      <c r="I2" s="9"/>
      <c r="J2" s="11"/>
      <c r="K2" s="11"/>
      <c r="L2" s="6"/>
      <c r="M2" s="6"/>
      <c r="N2" s="6"/>
      <c r="O2" s="6"/>
      <c r="P2" s="6"/>
      <c r="Q2" s="11"/>
      <c r="R2" s="6"/>
      <c r="S2" s="1"/>
      <c r="T2" s="6"/>
      <c r="U2" s="6"/>
      <c r="V2" s="6"/>
      <c r="W2" s="4"/>
      <c r="X2" s="12"/>
      <c r="Y2" s="12"/>
      <c r="Z2" s="4"/>
      <c r="AA2" s="13"/>
      <c r="AB2" s="13"/>
      <c r="AC2" s="4"/>
      <c r="AD2" s="13"/>
      <c r="AE2" s="11"/>
      <c r="AF2" s="11"/>
      <c r="AG2" s="4"/>
      <c r="AH2" s="61"/>
      <c r="AI2" s="61"/>
      <c r="AJ2" s="61"/>
    </row>
    <row x14ac:dyDescent="0.25" r="3" customHeight="1" ht="24.75">
      <c r="A3" s="6">
        <v>11</v>
      </c>
      <c r="B3" s="6">
        <v>1</v>
      </c>
      <c r="C3" s="7" t="s">
        <v>34</v>
      </c>
      <c r="D3" s="8">
        <f>REPT("   ", B3*2) &amp; C3</f>
      </c>
      <c r="E3" s="7" t="s">
        <v>35</v>
      </c>
      <c r="F3" s="9"/>
      <c r="G3" s="9"/>
      <c r="H3" s="9"/>
      <c r="I3" s="9"/>
      <c r="J3" s="14"/>
      <c r="K3" s="14">
        <v>3800</v>
      </c>
      <c r="L3" s="15" t="s">
        <v>37</v>
      </c>
      <c r="M3" s="15" t="s">
        <v>38</v>
      </c>
      <c r="N3" s="14"/>
      <c r="O3" s="15" t="s">
        <v>39</v>
      </c>
      <c r="P3" s="20"/>
      <c r="Q3" s="14">
        <v>2022</v>
      </c>
      <c r="R3" s="15" t="s">
        <v>40</v>
      </c>
      <c r="S3" s="7" t="s">
        <v>41</v>
      </c>
      <c r="T3" s="16" t="s">
        <v>42</v>
      </c>
      <c r="U3" s="17" t="s">
        <v>43</v>
      </c>
      <c r="V3" s="15"/>
      <c r="W3" s="4" t="s">
        <v>44</v>
      </c>
      <c r="X3" s="12">
        <f>0.9*$J3</f>
      </c>
      <c r="Y3" s="12">
        <f>1.5*J3</f>
      </c>
      <c r="Z3" s="4" t="s">
        <v>45</v>
      </c>
      <c r="AA3" s="11">
        <f>0.9*K3</f>
      </c>
      <c r="AB3" s="11">
        <f>1.3*K3</f>
      </c>
      <c r="AC3" s="4" t="s">
        <v>45</v>
      </c>
      <c r="AD3" s="13">
        <v>0.1</v>
      </c>
      <c r="AE3" s="11">
        <v>1</v>
      </c>
      <c r="AF3" s="11">
        <v>0</v>
      </c>
      <c r="AG3" s="4" t="s">
        <v>46</v>
      </c>
      <c r="AH3" s="61"/>
      <c r="AI3" s="61"/>
      <c r="AJ3" s="61"/>
    </row>
    <row x14ac:dyDescent="0.25" r="4" customHeight="1" ht="15">
      <c r="A4" s="6">
        <v>12</v>
      </c>
      <c r="B4" s="6">
        <v>1</v>
      </c>
      <c r="C4" s="7" t="s">
        <v>47</v>
      </c>
      <c r="D4" s="8">
        <f>REPT("   ", B4*2) &amp; C4</f>
      </c>
      <c r="E4" s="7" t="s">
        <v>35</v>
      </c>
      <c r="F4" s="9"/>
      <c r="G4" s="9"/>
      <c r="H4" s="9"/>
      <c r="I4" s="9"/>
      <c r="J4" s="14"/>
      <c r="K4" s="14">
        <f>10.03*1000</f>
      </c>
      <c r="L4" s="15" t="s">
        <v>48</v>
      </c>
      <c r="M4" s="15" t="s">
        <v>49</v>
      </c>
      <c r="N4" s="14"/>
      <c r="O4" s="15" t="s">
        <v>50</v>
      </c>
      <c r="P4" s="20"/>
      <c r="Q4" s="14">
        <v>2022</v>
      </c>
      <c r="R4" s="15" t="s">
        <v>51</v>
      </c>
      <c r="S4" s="7" t="s">
        <v>52</v>
      </c>
      <c r="T4" s="7"/>
      <c r="U4" s="7"/>
      <c r="V4" s="15"/>
      <c r="W4" s="4" t="s">
        <v>44</v>
      </c>
      <c r="X4" s="12">
        <f>0.9*$J4</f>
      </c>
      <c r="Y4" s="12">
        <f>1.5*J4</f>
      </c>
      <c r="Z4" s="4" t="s">
        <v>45</v>
      </c>
      <c r="AA4" s="11">
        <f>0.9*K4</f>
      </c>
      <c r="AB4" s="11">
        <f>1.3*K4</f>
      </c>
      <c r="AC4" s="4" t="s">
        <v>45</v>
      </c>
      <c r="AD4" s="13">
        <v>0.1</v>
      </c>
      <c r="AE4" s="11">
        <v>1</v>
      </c>
      <c r="AF4" s="11">
        <v>0</v>
      </c>
      <c r="AG4" s="4" t="s">
        <v>46</v>
      </c>
      <c r="AH4" s="61"/>
      <c r="AI4" s="61"/>
      <c r="AJ4" s="61"/>
    </row>
    <row x14ac:dyDescent="0.25" r="5" customHeight="1" ht="63.75">
      <c r="A5" s="6">
        <v>13</v>
      </c>
      <c r="B5" s="6">
        <v>1</v>
      </c>
      <c r="C5" s="7" t="s">
        <v>53</v>
      </c>
      <c r="D5" s="8">
        <f>REPT("   ", B5*2) &amp; C5</f>
      </c>
      <c r="E5" s="7" t="s">
        <v>35</v>
      </c>
      <c r="F5" s="9"/>
      <c r="G5" s="9"/>
      <c r="H5" s="9"/>
      <c r="I5" s="9"/>
      <c r="J5" s="14">
        <f>0.5*(X5+Y5)</f>
      </c>
      <c r="K5" s="14"/>
      <c r="L5" s="14"/>
      <c r="M5" s="14"/>
      <c r="N5" s="14"/>
      <c r="O5" s="15"/>
      <c r="P5" s="20"/>
      <c r="Q5" s="14">
        <v>2024</v>
      </c>
      <c r="R5" s="15" t="s">
        <v>51</v>
      </c>
      <c r="S5" s="7" t="s">
        <v>443</v>
      </c>
      <c r="T5" s="108" t="s">
        <v>444</v>
      </c>
      <c r="U5" s="17" t="s">
        <v>56</v>
      </c>
      <c r="V5" s="15"/>
      <c r="W5" s="4" t="s">
        <v>284</v>
      </c>
      <c r="X5" s="12">
        <f>0.47*45*1000000</f>
      </c>
      <c r="Y5" s="12">
        <f>0.47*70*1000000</f>
      </c>
      <c r="Z5" s="4" t="s">
        <v>57</v>
      </c>
      <c r="AA5" s="11">
        <f>0.9*K5</f>
      </c>
      <c r="AB5" s="11">
        <f>1.3*K5</f>
      </c>
      <c r="AC5" s="4" t="s">
        <v>45</v>
      </c>
      <c r="AD5" s="13">
        <v>0.1</v>
      </c>
      <c r="AE5" s="11">
        <v>1</v>
      </c>
      <c r="AF5" s="11">
        <v>0</v>
      </c>
      <c r="AG5" s="4" t="s">
        <v>46</v>
      </c>
      <c r="AH5" s="61"/>
      <c r="AI5" s="61"/>
      <c r="AJ5" s="61"/>
    </row>
    <row x14ac:dyDescent="0.25" r="6" customHeight="1" ht="15">
      <c r="A6" s="6">
        <v>14</v>
      </c>
      <c r="B6" s="6">
        <v>1</v>
      </c>
      <c r="C6" s="7" t="s">
        <v>58</v>
      </c>
      <c r="D6" s="8">
        <f>REPT("   ", B6*2) &amp; C6</f>
      </c>
      <c r="E6" s="7" t="s">
        <v>35</v>
      </c>
      <c r="F6" s="9"/>
      <c r="G6" s="9"/>
      <c r="H6" s="9"/>
      <c r="I6" s="9"/>
      <c r="J6" s="14">
        <v>3000000</v>
      </c>
      <c r="K6" s="14"/>
      <c r="L6" s="14"/>
      <c r="M6" s="14"/>
      <c r="N6" s="14"/>
      <c r="O6" s="15"/>
      <c r="P6" s="20"/>
      <c r="Q6" s="14">
        <v>2009</v>
      </c>
      <c r="R6" s="15" t="s">
        <v>51</v>
      </c>
      <c r="S6" s="7" t="s">
        <v>54</v>
      </c>
      <c r="T6" s="7" t="s">
        <v>55</v>
      </c>
      <c r="U6" s="24"/>
      <c r="V6" s="15"/>
      <c r="W6" s="4" t="s">
        <v>44</v>
      </c>
      <c r="X6" s="12">
        <f>0.9*$J6</f>
      </c>
      <c r="Y6" s="12">
        <f>1.5*J6</f>
      </c>
      <c r="Z6" s="4" t="s">
        <v>45</v>
      </c>
      <c r="AA6" s="11">
        <f>0.9*K6</f>
      </c>
      <c r="AB6" s="11">
        <f>1.3*K6</f>
      </c>
      <c r="AC6" s="4" t="s">
        <v>45</v>
      </c>
      <c r="AD6" s="13">
        <v>0.1</v>
      </c>
      <c r="AE6" s="11">
        <v>1</v>
      </c>
      <c r="AF6" s="11">
        <v>0</v>
      </c>
      <c r="AG6" s="4" t="s">
        <v>46</v>
      </c>
      <c r="AH6" s="61"/>
      <c r="AI6" s="61"/>
      <c r="AJ6" s="61"/>
    </row>
    <row x14ac:dyDescent="0.25" r="7" customHeight="1" ht="24">
      <c r="A7" s="6">
        <v>15</v>
      </c>
      <c r="B7" s="6">
        <v>1</v>
      </c>
      <c r="C7" s="7" t="s">
        <v>59</v>
      </c>
      <c r="D7" s="8">
        <f>REPT("   ", B7*2) &amp; C7</f>
      </c>
      <c r="E7" s="7" t="s">
        <v>35</v>
      </c>
      <c r="F7" s="9"/>
      <c r="G7" s="9"/>
      <c r="H7" s="9"/>
      <c r="I7" s="9"/>
      <c r="J7" s="14">
        <f>MARVEL_Cost!C4</f>
      </c>
      <c r="K7" s="14"/>
      <c r="L7" s="14"/>
      <c r="M7" s="14"/>
      <c r="N7" s="14"/>
      <c r="O7" s="15"/>
      <c r="P7" s="20"/>
      <c r="Q7" s="14">
        <v>2024</v>
      </c>
      <c r="R7" s="15" t="s">
        <v>51</v>
      </c>
      <c r="S7" s="7" t="s">
        <v>60</v>
      </c>
      <c r="T7" s="7" t="s">
        <v>61</v>
      </c>
      <c r="U7" s="15" t="s">
        <v>62</v>
      </c>
      <c r="V7" s="15" t="s">
        <v>63</v>
      </c>
      <c r="W7" s="4" t="s">
        <v>44</v>
      </c>
      <c r="X7" s="12">
        <f>0.9*$J7</f>
      </c>
      <c r="Y7" s="12">
        <f>1.5*J7</f>
      </c>
      <c r="Z7" s="4" t="s">
        <v>45</v>
      </c>
      <c r="AA7" s="11">
        <f>0.9*K7</f>
      </c>
      <c r="AB7" s="11">
        <f>1.3*K7</f>
      </c>
      <c r="AC7" s="4" t="s">
        <v>45</v>
      </c>
      <c r="AD7" s="13">
        <v>0.1</v>
      </c>
      <c r="AE7" s="11">
        <v>1</v>
      </c>
      <c r="AF7" s="11">
        <v>0</v>
      </c>
      <c r="AG7" s="4" t="s">
        <v>46</v>
      </c>
      <c r="AH7" s="61"/>
      <c r="AI7" s="61"/>
      <c r="AJ7" s="61"/>
    </row>
    <row x14ac:dyDescent="0.25" r="8" customHeight="1" ht="15">
      <c r="A8" s="1">
        <v>20</v>
      </c>
      <c r="B8" s="6">
        <v>0</v>
      </c>
      <c r="C8" s="7" t="s">
        <v>64</v>
      </c>
      <c r="D8" s="8">
        <f>REPT("   ", B8*2) &amp; C8</f>
      </c>
      <c r="E8" s="9"/>
      <c r="F8" s="9"/>
      <c r="G8" s="9"/>
      <c r="H8" s="9"/>
      <c r="I8" s="9"/>
      <c r="J8" s="14"/>
      <c r="K8" s="18"/>
      <c r="L8" s="2"/>
      <c r="M8" s="4"/>
      <c r="N8" s="1"/>
      <c r="O8" s="2"/>
      <c r="P8" s="1"/>
      <c r="Q8" s="18"/>
      <c r="R8" s="2"/>
      <c r="S8" s="2"/>
      <c r="T8" s="2"/>
      <c r="U8" s="2"/>
      <c r="V8" s="2"/>
      <c r="W8" s="4"/>
      <c r="X8" s="12"/>
      <c r="Y8" s="12"/>
      <c r="Z8" s="4"/>
      <c r="AA8" s="13"/>
      <c r="AB8" s="13"/>
      <c r="AC8" s="4"/>
      <c r="AD8" s="13"/>
      <c r="AE8" s="11"/>
      <c r="AF8" s="11"/>
      <c r="AG8" s="4"/>
      <c r="AH8" s="61"/>
      <c r="AI8" s="61"/>
      <c r="AJ8" s="61"/>
    </row>
    <row x14ac:dyDescent="0.25" r="9" customHeight="1" ht="15">
      <c r="A9" s="6">
        <v>21</v>
      </c>
      <c r="B9" s="6">
        <v>1</v>
      </c>
      <c r="C9" s="7" t="s">
        <v>65</v>
      </c>
      <c r="D9" s="8">
        <f>REPT("   ", B9*2) &amp; C9</f>
      </c>
      <c r="E9" s="9"/>
      <c r="F9" s="9"/>
      <c r="G9" s="9"/>
      <c r="H9" s="9"/>
      <c r="I9" s="9"/>
      <c r="J9" s="14"/>
      <c r="K9" s="14"/>
      <c r="L9" s="14"/>
      <c r="M9" s="14"/>
      <c r="N9" s="14"/>
      <c r="O9" s="14"/>
      <c r="P9" s="14"/>
      <c r="Q9" s="14"/>
      <c r="R9" s="14"/>
      <c r="S9" s="19"/>
      <c r="T9" s="14"/>
      <c r="U9" s="14"/>
      <c r="V9" s="15"/>
      <c r="W9" s="4"/>
      <c r="X9" s="12"/>
      <c r="Y9" s="12"/>
      <c r="Z9" s="4"/>
      <c r="AA9" s="13"/>
      <c r="AB9" s="13"/>
      <c r="AC9" s="4"/>
      <c r="AD9" s="13"/>
      <c r="AE9" s="11"/>
      <c r="AF9" s="11"/>
      <c r="AG9" s="4"/>
      <c r="AH9" s="61"/>
      <c r="AI9" s="61"/>
      <c r="AJ9" s="61"/>
    </row>
    <row x14ac:dyDescent="0.25" r="10" customHeight="1" ht="15">
      <c r="A10" s="20">
        <v>211</v>
      </c>
      <c r="B10" s="6">
        <v>2</v>
      </c>
      <c r="C10" s="7" t="s">
        <v>66</v>
      </c>
      <c r="D10" s="8">
        <f>REPT("   ", B10*2) &amp; C10</f>
      </c>
      <c r="E10" s="9"/>
      <c r="F10" s="9"/>
      <c r="G10" s="9"/>
      <c r="H10" s="9"/>
      <c r="I10" s="9"/>
      <c r="J10" s="14"/>
      <c r="K10" s="14"/>
      <c r="L10" s="14"/>
      <c r="M10" s="14"/>
      <c r="N10" s="14"/>
      <c r="O10" s="14"/>
      <c r="P10" s="14"/>
      <c r="Q10" s="14"/>
      <c r="R10" s="14"/>
      <c r="S10" s="19"/>
      <c r="T10" s="14"/>
      <c r="U10" s="14"/>
      <c r="V10" s="15"/>
      <c r="W10" s="4"/>
      <c r="X10" s="12"/>
      <c r="Y10" s="12"/>
      <c r="Z10" s="4"/>
      <c r="AA10" s="13"/>
      <c r="AB10" s="13"/>
      <c r="AC10" s="4"/>
      <c r="AD10" s="13"/>
      <c r="AE10" s="11"/>
      <c r="AF10" s="11"/>
      <c r="AG10" s="4"/>
      <c r="AH10" s="61"/>
      <c r="AI10" s="61"/>
      <c r="AJ10" s="61"/>
    </row>
    <row x14ac:dyDescent="0.25" r="11" customHeight="1" ht="15">
      <c r="A11" s="21">
        <v>211.1</v>
      </c>
      <c r="B11" s="6">
        <v>3</v>
      </c>
      <c r="C11" s="7" t="s">
        <v>67</v>
      </c>
      <c r="D11" s="8">
        <f>REPT("   ", B11*2) &amp; C11</f>
      </c>
      <c r="E11" s="7" t="s">
        <v>35</v>
      </c>
      <c r="F11" s="9"/>
      <c r="G11" s="9"/>
      <c r="H11" s="9"/>
      <c r="I11" s="9"/>
      <c r="J11" s="14"/>
      <c r="K11" s="14">
        <f>4408.18*1.33</f>
      </c>
      <c r="L11" s="15" t="s">
        <v>37</v>
      </c>
      <c r="M11" s="15" t="s">
        <v>38</v>
      </c>
      <c r="N11" s="14"/>
      <c r="O11" s="15" t="s">
        <v>39</v>
      </c>
      <c r="P11" s="14"/>
      <c r="Q11" s="14">
        <v>2024</v>
      </c>
      <c r="R11" s="15" t="s">
        <v>68</v>
      </c>
      <c r="S11" s="16" t="s">
        <v>69</v>
      </c>
      <c r="T11" s="16" t="s">
        <v>70</v>
      </c>
      <c r="U11" s="22" t="s">
        <v>71</v>
      </c>
      <c r="V11" s="15"/>
      <c r="W11" s="4" t="s">
        <v>280</v>
      </c>
      <c r="X11" s="12">
        <f>0.9*$J11</f>
      </c>
      <c r="Y11" s="12">
        <f>1.5*J11</f>
      </c>
      <c r="Z11" s="4" t="s">
        <v>45</v>
      </c>
      <c r="AA11" s="13">
        <f>0.9*K11</f>
      </c>
      <c r="AB11" s="13">
        <f>1.3*K11</f>
      </c>
      <c r="AC11" s="4" t="s">
        <v>45</v>
      </c>
      <c r="AD11" s="13">
        <v>0.1</v>
      </c>
      <c r="AE11" s="11">
        <v>1</v>
      </c>
      <c r="AF11" s="11">
        <v>0</v>
      </c>
      <c r="AG11" s="4" t="s">
        <v>46</v>
      </c>
      <c r="AH11" s="61"/>
      <c r="AI11" s="61"/>
      <c r="AJ11" s="61"/>
    </row>
    <row x14ac:dyDescent="0.25" r="12" customHeight="1" ht="15">
      <c r="A12" s="23">
        <v>211.2</v>
      </c>
      <c r="B12" s="6">
        <v>3</v>
      </c>
      <c r="C12" s="7" t="s">
        <v>72</v>
      </c>
      <c r="D12" s="8">
        <f>REPT("   ", B12*2) &amp; C12</f>
      </c>
      <c r="E12" s="7" t="s">
        <v>35</v>
      </c>
      <c r="F12" s="9"/>
      <c r="G12" s="9"/>
      <c r="H12" s="9"/>
      <c r="I12" s="9"/>
      <c r="J12" s="14"/>
      <c r="K12" s="14">
        <f>2565.2*1.33</f>
      </c>
      <c r="L12" s="15" t="s">
        <v>37</v>
      </c>
      <c r="M12" s="15" t="s">
        <v>38</v>
      </c>
      <c r="N12" s="14"/>
      <c r="O12" s="15" t="s">
        <v>39</v>
      </c>
      <c r="P12" s="14"/>
      <c r="Q12" s="14">
        <v>2024</v>
      </c>
      <c r="R12" s="15" t="s">
        <v>68</v>
      </c>
      <c r="S12" s="7"/>
      <c r="T12" s="7"/>
      <c r="U12" s="7"/>
      <c r="V12" s="15"/>
      <c r="W12" s="4" t="s">
        <v>280</v>
      </c>
      <c r="X12" s="12">
        <f>0.9*$J12</f>
      </c>
      <c r="Y12" s="12">
        <f>1.5*J12</f>
      </c>
      <c r="Z12" s="4" t="s">
        <v>45</v>
      </c>
      <c r="AA12" s="13">
        <f>0.9*K12</f>
      </c>
      <c r="AB12" s="13">
        <f>1.3*K12</f>
      </c>
      <c r="AC12" s="4" t="s">
        <v>45</v>
      </c>
      <c r="AD12" s="13">
        <v>0.1</v>
      </c>
      <c r="AE12" s="11">
        <v>1</v>
      </c>
      <c r="AF12" s="11">
        <v>0</v>
      </c>
      <c r="AG12" s="4" t="s">
        <v>46</v>
      </c>
      <c r="AH12" s="61"/>
      <c r="AI12" s="61"/>
      <c r="AJ12" s="61"/>
    </row>
    <row x14ac:dyDescent="0.25" r="13" customHeight="1" ht="82.5">
      <c r="A13" s="23">
        <v>211.3</v>
      </c>
      <c r="B13" s="6">
        <v>3</v>
      </c>
      <c r="C13" s="7" t="s">
        <v>73</v>
      </c>
      <c r="D13" s="8">
        <f>REPT("   ", B13*2) &amp; C13</f>
      </c>
      <c r="E13" s="7" t="s">
        <v>35</v>
      </c>
      <c r="F13" s="9"/>
      <c r="G13" s="9"/>
      <c r="H13" s="9"/>
      <c r="I13" s="9"/>
      <c r="J13" s="14"/>
      <c r="K13" s="14">
        <f>22.86*1.4</f>
      </c>
      <c r="L13" s="15" t="s">
        <v>74</v>
      </c>
      <c r="M13" s="15" t="s">
        <v>75</v>
      </c>
      <c r="N13" s="14"/>
      <c r="O13" s="15" t="s">
        <v>76</v>
      </c>
      <c r="P13" s="14"/>
      <c r="Q13" s="14">
        <v>2024</v>
      </c>
      <c r="R13" s="15" t="s">
        <v>68</v>
      </c>
      <c r="S13" s="7"/>
      <c r="T13" s="7"/>
      <c r="U13" s="7"/>
      <c r="V13" s="15"/>
      <c r="W13" s="4" t="s">
        <v>280</v>
      </c>
      <c r="X13" s="12">
        <f>0.9*$J13</f>
      </c>
      <c r="Y13" s="12">
        <f>1.5*J13</f>
      </c>
      <c r="Z13" s="4" t="s">
        <v>45</v>
      </c>
      <c r="AA13" s="13">
        <f>0.9*K13</f>
      </c>
      <c r="AB13" s="13">
        <f>1.3*K13</f>
      </c>
      <c r="AC13" s="4" t="s">
        <v>45</v>
      </c>
      <c r="AD13" s="13">
        <v>0.1</v>
      </c>
      <c r="AE13" s="11">
        <v>1</v>
      </c>
      <c r="AF13" s="11">
        <v>0</v>
      </c>
      <c r="AG13" s="4" t="s">
        <v>46</v>
      </c>
      <c r="AH13" s="61"/>
      <c r="AI13" s="61"/>
      <c r="AJ13" s="61"/>
    </row>
    <row x14ac:dyDescent="0.25" r="14" customHeight="1" ht="15">
      <c r="A14" s="20">
        <v>212</v>
      </c>
      <c r="B14" s="6">
        <f>IF(ISNUMBER(A14),
IF(AND(A14=INT(A14), MOD(A14, 10) = 0), 0,
IF(AND(A14=INT(A14), LEN(A14)=2), 1,
IF(AND(A14=INT(A14), LEN(A14)=3), 2,
LEN(A14) - FIND(".", A14) + 2)
)
),
"")</f>
      </c>
      <c r="C14" s="7" t="s">
        <v>380</v>
      </c>
      <c r="D14" s="8">
        <f>REPT("   ", B14*2) &amp; C14</f>
      </c>
      <c r="E14" s="9"/>
      <c r="F14" s="9"/>
      <c r="G14" s="9"/>
      <c r="H14" s="9"/>
      <c r="I14" s="9"/>
      <c r="J14" s="14"/>
      <c r="K14" s="14"/>
      <c r="L14" s="14"/>
      <c r="M14" s="14"/>
      <c r="N14" s="14"/>
      <c r="O14" s="14"/>
      <c r="P14" s="14"/>
      <c r="Q14" s="14"/>
      <c r="R14" s="14"/>
      <c r="S14" s="7"/>
      <c r="T14" s="15"/>
      <c r="U14" s="15"/>
      <c r="V14" s="15"/>
      <c r="W14" s="4"/>
      <c r="X14" s="12"/>
      <c r="Y14" s="12"/>
      <c r="Z14" s="4"/>
      <c r="AA14" s="13"/>
      <c r="AB14" s="13"/>
      <c r="AC14" s="4"/>
      <c r="AD14" s="13"/>
      <c r="AE14" s="11"/>
      <c r="AF14" s="11"/>
      <c r="AG14" s="4"/>
      <c r="AH14" s="61"/>
      <c r="AI14" s="61"/>
      <c r="AJ14" s="61"/>
    </row>
    <row x14ac:dyDescent="0.25" r="15" customHeight="1" ht="28.5">
      <c r="A15" s="23">
        <v>212.1</v>
      </c>
      <c r="B15" s="6">
        <f>IF(ISNUMBER(A15),
IF(AND(A15=INT(A15), MOD(A15, 10) = 0), 0,
IF(AND(A15=INT(A15), LEN(A15)=2), 1,
IF(AND(A15=INT(A15), LEN(A15)=3), 2,
LEN(A15) - FIND(".", A15) + 2)
)
),
"")</f>
      </c>
      <c r="C15" s="7" t="s">
        <v>445</v>
      </c>
      <c r="D15" s="8">
        <f>REPT("   ", B15*2) &amp; C15</f>
      </c>
      <c r="E15" s="7" t="s">
        <v>35</v>
      </c>
      <c r="F15" s="7"/>
      <c r="G15" s="9"/>
      <c r="H15" s="9"/>
      <c r="I15" s="9"/>
      <c r="J15" s="14"/>
      <c r="K15" s="14">
        <f>1200 *1.53</f>
      </c>
      <c r="L15" s="15" t="s">
        <v>74</v>
      </c>
      <c r="M15" s="7" t="s">
        <v>446</v>
      </c>
      <c r="N15" s="14"/>
      <c r="O15" s="15" t="s">
        <v>76</v>
      </c>
      <c r="P15" s="14"/>
      <c r="Q15" s="14">
        <v>2024</v>
      </c>
      <c r="R15" s="15" t="s">
        <v>86</v>
      </c>
      <c r="S15" s="16" t="s">
        <v>69</v>
      </c>
      <c r="T15" s="16" t="s">
        <v>70</v>
      </c>
      <c r="U15" s="22" t="s">
        <v>71</v>
      </c>
      <c r="V15" s="15"/>
      <c r="W15" s="4" t="s">
        <v>280</v>
      </c>
      <c r="X15" s="12">
        <f>0.9*$J15</f>
      </c>
      <c r="Y15" s="12">
        <f>1.5*J15</f>
      </c>
      <c r="Z15" s="4" t="s">
        <v>45</v>
      </c>
      <c r="AA15" s="13">
        <f>0.9*K15</f>
      </c>
      <c r="AB15" s="13">
        <f>1.3*K15</f>
      </c>
      <c r="AC15" s="4" t="s">
        <v>45</v>
      </c>
      <c r="AD15" s="13">
        <v>0.1</v>
      </c>
      <c r="AE15" s="11">
        <v>1</v>
      </c>
      <c r="AF15" s="11">
        <v>0</v>
      </c>
      <c r="AG15" s="4" t="s">
        <v>46</v>
      </c>
      <c r="AH15" s="61"/>
      <c r="AI15" s="61"/>
      <c r="AJ15" s="61"/>
    </row>
    <row x14ac:dyDescent="0.25" r="16" customHeight="1" ht="28.5">
      <c r="A16" s="23">
        <v>212.2</v>
      </c>
      <c r="B16" s="6">
        <f>IF(ISNUMBER(A16),
IF(AND(A16=INT(A16), MOD(A16, 10) = 0), 0,
IF(AND(A16=INT(A16), LEN(A16)=2), 1,
IF(AND(A16=INT(A16), LEN(A16)=3), 2,
LEN(A16) - FIND(".", A16) + 2)
)
),
"")</f>
      </c>
      <c r="C16" s="7" t="s">
        <v>447</v>
      </c>
      <c r="D16" s="8">
        <f>REPT("   ", B16*2) &amp; C16</f>
      </c>
      <c r="E16" s="7" t="s">
        <v>35</v>
      </c>
      <c r="F16" s="9"/>
      <c r="G16" s="9"/>
      <c r="H16" s="9"/>
      <c r="I16" s="9"/>
      <c r="J16" s="14"/>
      <c r="K16" s="14">
        <f>943.9*1.53</f>
      </c>
      <c r="L16" s="15" t="s">
        <v>74</v>
      </c>
      <c r="M16" s="7" t="s">
        <v>448</v>
      </c>
      <c r="N16" s="14"/>
      <c r="O16" s="15" t="s">
        <v>76</v>
      </c>
      <c r="P16" s="14"/>
      <c r="Q16" s="14">
        <v>2024</v>
      </c>
      <c r="R16" s="15" t="s">
        <v>86</v>
      </c>
      <c r="S16" s="7"/>
      <c r="T16" s="7"/>
      <c r="U16" s="7"/>
      <c r="V16" s="15"/>
      <c r="W16" s="4" t="s">
        <v>280</v>
      </c>
      <c r="X16" s="12">
        <f>0.9*$J16</f>
      </c>
      <c r="Y16" s="12">
        <f>1.5*J16</f>
      </c>
      <c r="Z16" s="4" t="s">
        <v>45</v>
      </c>
      <c r="AA16" s="13">
        <f>0.9*K16</f>
      </c>
      <c r="AB16" s="13">
        <f>1.3*K16</f>
      </c>
      <c r="AC16" s="4" t="s">
        <v>45</v>
      </c>
      <c r="AD16" s="13">
        <v>0.1</v>
      </c>
      <c r="AE16" s="11">
        <v>1</v>
      </c>
      <c r="AF16" s="11">
        <v>0</v>
      </c>
      <c r="AG16" s="4" t="s">
        <v>46</v>
      </c>
      <c r="AH16" s="61"/>
      <c r="AI16" s="61"/>
      <c r="AJ16" s="61"/>
    </row>
    <row x14ac:dyDescent="0.25" r="17" customHeight="1" ht="42.75">
      <c r="A17" s="23">
        <v>212.3</v>
      </c>
      <c r="B17" s="6">
        <f>IF(ISNUMBER(A17),
IF(AND(A17=INT(A17), MOD(A17, 10) = 0), 0,
IF(AND(A17=INT(A17), LEN(A17)=2), 1,
IF(AND(A17=INT(A17), LEN(A17)=3), 2,
LEN(A17) - FIND(".", A17) + 2)
)
),
"")</f>
      </c>
      <c r="C17" s="7" t="s">
        <v>449</v>
      </c>
      <c r="D17" s="8">
        <f>REPT("   ", B17*2) &amp; C17</f>
      </c>
      <c r="E17" s="7" t="s">
        <v>35</v>
      </c>
      <c r="F17" s="9"/>
      <c r="G17" s="9"/>
      <c r="H17" s="9"/>
      <c r="I17" s="9"/>
      <c r="J17" s="14"/>
      <c r="K17" s="14">
        <f>721.21*1.53</f>
      </c>
      <c r="L17" s="15" t="s">
        <v>74</v>
      </c>
      <c r="M17" s="7" t="s">
        <v>450</v>
      </c>
      <c r="N17" s="14"/>
      <c r="O17" s="15" t="s">
        <v>76</v>
      </c>
      <c r="P17" s="14"/>
      <c r="Q17" s="14">
        <v>2024</v>
      </c>
      <c r="R17" s="15" t="s">
        <v>86</v>
      </c>
      <c r="S17" s="7"/>
      <c r="T17" s="7"/>
      <c r="U17" s="7"/>
      <c r="V17" s="15"/>
      <c r="W17" s="4" t="s">
        <v>280</v>
      </c>
      <c r="X17" s="12">
        <f>0.9*$J17</f>
      </c>
      <c r="Y17" s="12">
        <f>1.5*J17</f>
      </c>
      <c r="Z17" s="4" t="s">
        <v>45</v>
      </c>
      <c r="AA17" s="13">
        <f>0.9*K17</f>
      </c>
      <c r="AB17" s="13">
        <f>1.3*K17</f>
      </c>
      <c r="AC17" s="4" t="s">
        <v>45</v>
      </c>
      <c r="AD17" s="13">
        <v>0.1</v>
      </c>
      <c r="AE17" s="11">
        <v>1</v>
      </c>
      <c r="AF17" s="11">
        <v>0</v>
      </c>
      <c r="AG17" s="4" t="s">
        <v>46</v>
      </c>
      <c r="AH17" s="61"/>
      <c r="AI17" s="61"/>
      <c r="AJ17" s="61"/>
    </row>
    <row x14ac:dyDescent="0.25" r="18" customHeight="1" ht="57">
      <c r="A18" s="23">
        <v>212.4</v>
      </c>
      <c r="B18" s="6">
        <f>IF(ISNUMBER(A18),
IF(AND(A18=INT(A18), MOD(A18, 10) = 0), 0,
IF(AND(A18=INT(A18), LEN(A18)=2), 1,
IF(AND(A18=INT(A18), LEN(A18)=3), 2,
LEN(A18) - FIND(".", A18) + 2)
)
),
"")</f>
      </c>
      <c r="C18" s="7" t="s">
        <v>451</v>
      </c>
      <c r="D18" s="8">
        <f>REPT("   ", B18*2) &amp; C18</f>
      </c>
      <c r="E18" s="7" t="s">
        <v>35</v>
      </c>
      <c r="F18" s="9"/>
      <c r="G18" s="9"/>
      <c r="H18" s="9"/>
      <c r="I18" s="9"/>
      <c r="J18" s="14"/>
      <c r="K18" s="14">
        <f>60848829/9373</f>
      </c>
      <c r="L18" s="15" t="s">
        <v>452</v>
      </c>
      <c r="M18" s="7" t="s">
        <v>453</v>
      </c>
      <c r="N18" s="14">
        <v>9373</v>
      </c>
      <c r="O18" s="15" t="s">
        <v>454</v>
      </c>
      <c r="P18" s="14">
        <v>1</v>
      </c>
      <c r="Q18" s="14">
        <v>2018</v>
      </c>
      <c r="R18" s="15" t="s">
        <v>86</v>
      </c>
      <c r="S18" s="7" t="s">
        <v>455</v>
      </c>
      <c r="T18" s="7" t="s">
        <v>455</v>
      </c>
      <c r="U18" s="25" t="s">
        <v>456</v>
      </c>
      <c r="V18" s="15"/>
      <c r="W18" s="4" t="s">
        <v>280</v>
      </c>
      <c r="X18" s="12">
        <f>0.9*$J18</f>
      </c>
      <c r="Y18" s="12">
        <f>1.5*J18</f>
      </c>
      <c r="Z18" s="4" t="s">
        <v>45</v>
      </c>
      <c r="AA18" s="13">
        <f>0.9*K18</f>
      </c>
      <c r="AB18" s="13">
        <f>1.3*K18</f>
      </c>
      <c r="AC18" s="4" t="s">
        <v>45</v>
      </c>
      <c r="AD18" s="13">
        <v>0.1</v>
      </c>
      <c r="AE18" s="11">
        <v>1</v>
      </c>
      <c r="AF18" s="11">
        <v>0</v>
      </c>
      <c r="AG18" s="4" t="s">
        <v>46</v>
      </c>
      <c r="AH18" s="61"/>
      <c r="AI18" s="61"/>
      <c r="AJ18" s="61"/>
    </row>
    <row x14ac:dyDescent="0.25" r="19" customHeight="1" ht="57">
      <c r="A19" s="23">
        <v>212.5</v>
      </c>
      <c r="B19" s="6">
        <f>IF(ISNUMBER(A19),
IF(AND(A19=INT(A19), MOD(A19, 10) = 0), 0,
IF(AND(A19=INT(A19), LEN(A19)=2), 1,
IF(AND(A19=INT(A19), LEN(A19)=3), 2,
LEN(A19) - FIND(".", A19) + 2)
)
),
"")</f>
      </c>
      <c r="C19" s="7" t="s">
        <v>457</v>
      </c>
      <c r="D19" s="8">
        <f>REPT("   ", B19*2) &amp; C19</f>
      </c>
      <c r="E19" s="7" t="s">
        <v>35</v>
      </c>
      <c r="F19" s="9"/>
      <c r="G19" s="9"/>
      <c r="H19" s="9"/>
      <c r="I19" s="9"/>
      <c r="J19" s="14"/>
      <c r="K19" s="14">
        <f>5917967/N19</f>
      </c>
      <c r="L19" s="15" t="s">
        <v>160</v>
      </c>
      <c r="M19" s="7" t="s">
        <v>458</v>
      </c>
      <c r="N19" s="14">
        <v>3417</v>
      </c>
      <c r="O19" s="15" t="s">
        <v>155</v>
      </c>
      <c r="P19" s="14">
        <v>0.8</v>
      </c>
      <c r="Q19" s="14">
        <v>2018</v>
      </c>
      <c r="R19" s="15" t="s">
        <v>86</v>
      </c>
      <c r="S19" s="7" t="s">
        <v>455</v>
      </c>
      <c r="T19" s="7" t="s">
        <v>455</v>
      </c>
      <c r="U19" s="25" t="s">
        <v>456</v>
      </c>
      <c r="V19" s="15"/>
      <c r="W19" s="4" t="s">
        <v>280</v>
      </c>
      <c r="X19" s="12">
        <f>0.9*$J19</f>
      </c>
      <c r="Y19" s="12">
        <f>1.5*J19</f>
      </c>
      <c r="Z19" s="4" t="s">
        <v>45</v>
      </c>
      <c r="AA19" s="13">
        <f>0.9*K19</f>
      </c>
      <c r="AB19" s="13">
        <f>1.3*K19</f>
      </c>
      <c r="AC19" s="4" t="s">
        <v>45</v>
      </c>
      <c r="AD19" s="13">
        <v>0.1</v>
      </c>
      <c r="AE19" s="11">
        <v>1</v>
      </c>
      <c r="AF19" s="11">
        <v>0</v>
      </c>
      <c r="AG19" s="4" t="s">
        <v>46</v>
      </c>
      <c r="AH19" s="61"/>
      <c r="AI19" s="61"/>
      <c r="AJ19" s="61"/>
    </row>
    <row x14ac:dyDescent="0.25" r="20" customHeight="1" ht="15">
      <c r="A20" s="20">
        <v>213</v>
      </c>
      <c r="B20" s="6">
        <f>IF(ISNUMBER(A20),
IF(AND(A20=INT(A20), MOD(A20, 10) = 0), 0,
IF(AND(A20=INT(A20), LEN(A20)=2), 1,
IF(AND(A20=INT(A20), LEN(A20)=3), 2,
LEN(A20) - FIND(".", A20) + 2)
)
),
"")</f>
      </c>
      <c r="C20" s="7" t="s">
        <v>381</v>
      </c>
      <c r="D20" s="8">
        <f>REPT("   ", B20*2) &amp; C20</f>
      </c>
      <c r="E20" s="9"/>
      <c r="F20" s="9"/>
      <c r="G20" s="9"/>
      <c r="H20" s="9"/>
      <c r="I20" s="9"/>
      <c r="J20" s="14"/>
      <c r="K20" s="14"/>
      <c r="L20" s="14"/>
      <c r="M20" s="19"/>
      <c r="N20" s="14"/>
      <c r="O20" s="14"/>
      <c r="P20" s="14"/>
      <c r="Q20" s="14"/>
      <c r="R20" s="14"/>
      <c r="S20" s="19"/>
      <c r="T20" s="7"/>
      <c r="U20" s="24"/>
      <c r="V20" s="15"/>
      <c r="W20" s="4"/>
      <c r="X20" s="12"/>
      <c r="Y20" s="12"/>
      <c r="Z20" s="4"/>
      <c r="AA20" s="13"/>
      <c r="AB20" s="13"/>
      <c r="AC20" s="4"/>
      <c r="AD20" s="13"/>
      <c r="AE20" s="11"/>
      <c r="AF20" s="11"/>
      <c r="AG20" s="4"/>
      <c r="AH20" s="61"/>
      <c r="AI20" s="61"/>
      <c r="AJ20" s="61"/>
    </row>
    <row x14ac:dyDescent="0.25" r="21" customHeight="1" ht="15">
      <c r="A21" s="23">
        <v>213.1</v>
      </c>
      <c r="B21" s="6">
        <f>IF(ISNUMBER(A21),
IF(AND(A21=INT(A21), MOD(A21, 10) = 0), 0,
IF(AND(A21=INT(A21), LEN(A21)=2), 1,
IF(AND(A21=INT(A21), LEN(A21)=3), 2,
LEN(A21) - FIND(".", A21) + 2)
)
),
"")</f>
      </c>
      <c r="C21" s="7" t="s">
        <v>459</v>
      </c>
      <c r="D21" s="8">
        <f>REPT("   ", B21*2) &amp; C21</f>
      </c>
      <c r="E21" s="9"/>
      <c r="F21" s="9"/>
      <c r="G21" s="9"/>
      <c r="H21" s="9"/>
      <c r="I21" s="9"/>
      <c r="J21" s="14"/>
      <c r="K21" s="14"/>
      <c r="L21" s="14"/>
      <c r="M21" s="19"/>
      <c r="N21" s="14"/>
      <c r="O21" s="14"/>
      <c r="P21" s="14"/>
      <c r="Q21" s="14"/>
      <c r="R21" s="14"/>
      <c r="S21" s="19"/>
      <c r="T21" s="7"/>
      <c r="U21" s="24"/>
      <c r="V21" s="15"/>
      <c r="W21" s="4"/>
      <c r="X21" s="12"/>
      <c r="Y21" s="12"/>
      <c r="Z21" s="4"/>
      <c r="AA21" s="13"/>
      <c r="AB21" s="13"/>
      <c r="AC21" s="4"/>
      <c r="AD21" s="13"/>
      <c r="AE21" s="11"/>
      <c r="AF21" s="11"/>
      <c r="AG21" s="4"/>
      <c r="AH21" s="61"/>
      <c r="AI21" s="61"/>
      <c r="AJ21" s="61"/>
    </row>
    <row x14ac:dyDescent="0.25" r="22" customHeight="1" ht="28.5">
      <c r="A22" s="23">
        <v>213.11</v>
      </c>
      <c r="B22" s="6">
        <f>IF(ISNUMBER(A22),
IF(AND(A22=INT(A22), MOD(A22, 10) = 0), 0,
IF(AND(A22=INT(A22), LEN(A22)=2), 1,
IF(AND(A22=INT(A22), LEN(A22)=3), 2,
LEN(A22) - FIND(".", A22) + 2)
)
),
"")</f>
      </c>
      <c r="C22" s="7" t="s">
        <v>460</v>
      </c>
      <c r="D22" s="8">
        <f>REPT("   ", B22*2) &amp; C22</f>
      </c>
      <c r="E22" s="7" t="s">
        <v>35</v>
      </c>
      <c r="F22" s="9"/>
      <c r="G22" s="9"/>
      <c r="H22" s="9"/>
      <c r="I22" s="9"/>
      <c r="J22" s="14"/>
      <c r="K22" s="14">
        <f>1200</f>
      </c>
      <c r="L22" s="15" t="s">
        <v>74</v>
      </c>
      <c r="M22" s="7" t="s">
        <v>461</v>
      </c>
      <c r="N22" s="14"/>
      <c r="O22" s="15" t="s">
        <v>76</v>
      </c>
      <c r="P22" s="14"/>
      <c r="Q22" s="14">
        <v>2024</v>
      </c>
      <c r="R22" s="15" t="s">
        <v>86</v>
      </c>
      <c r="S22" s="16" t="s">
        <v>462</v>
      </c>
      <c r="T22" s="16" t="s">
        <v>70</v>
      </c>
      <c r="U22" s="22" t="s">
        <v>71</v>
      </c>
      <c r="V22" s="15"/>
      <c r="W22" s="4" t="s">
        <v>280</v>
      </c>
      <c r="X22" s="12">
        <f>0.9*$J22</f>
      </c>
      <c r="Y22" s="12">
        <f>1.5*J22</f>
      </c>
      <c r="Z22" s="4" t="s">
        <v>45</v>
      </c>
      <c r="AA22" s="11">
        <f>0.9*K22</f>
      </c>
      <c r="AB22" s="11">
        <f>1.3*K22</f>
      </c>
      <c r="AC22" s="4" t="s">
        <v>45</v>
      </c>
      <c r="AD22" s="13">
        <v>0.1</v>
      </c>
      <c r="AE22" s="11">
        <v>1</v>
      </c>
      <c r="AF22" s="11">
        <v>0</v>
      </c>
      <c r="AG22" s="4" t="s">
        <v>46</v>
      </c>
      <c r="AH22" s="61"/>
      <c r="AI22" s="61"/>
      <c r="AJ22" s="61"/>
    </row>
    <row x14ac:dyDescent="0.25" r="23" customHeight="1" ht="28.5">
      <c r="A23" s="23">
        <v>213.12</v>
      </c>
      <c r="B23" s="6">
        <f>IF(ISNUMBER(A23),
IF(AND(A23=INT(A23), MOD(A23, 10) = 0), 0,
IF(AND(A23=INT(A23), LEN(A23)=2), 1,
IF(AND(A23=INT(A23), LEN(A23)=3), 2,
LEN(A23) - FIND(".", A23) + 2)
)
),
"")</f>
      </c>
      <c r="C23" s="7" t="s">
        <v>463</v>
      </c>
      <c r="D23" s="8">
        <f>REPT("   ", B23*2) &amp; C23</f>
      </c>
      <c r="E23" s="7" t="s">
        <v>35</v>
      </c>
      <c r="F23" s="9"/>
      <c r="G23" s="9"/>
      <c r="H23" s="9"/>
      <c r="I23" s="9"/>
      <c r="J23" s="14"/>
      <c r="K23" s="14">
        <f>943.9</f>
      </c>
      <c r="L23" s="15" t="s">
        <v>74</v>
      </c>
      <c r="M23" s="7" t="s">
        <v>464</v>
      </c>
      <c r="N23" s="14"/>
      <c r="O23" s="15" t="s">
        <v>76</v>
      </c>
      <c r="P23" s="14"/>
      <c r="Q23" s="14">
        <v>2024</v>
      </c>
      <c r="R23" s="15" t="s">
        <v>86</v>
      </c>
      <c r="S23" s="7"/>
      <c r="T23" s="7"/>
      <c r="U23" s="7"/>
      <c r="V23" s="15"/>
      <c r="W23" s="4" t="s">
        <v>280</v>
      </c>
      <c r="X23" s="12">
        <f>0.9*$J23</f>
      </c>
      <c r="Y23" s="12">
        <f>1.5*J23</f>
      </c>
      <c r="Z23" s="4" t="s">
        <v>45</v>
      </c>
      <c r="AA23" s="13">
        <f>0.9*K23</f>
      </c>
      <c r="AB23" s="13">
        <f>1.3*K23</f>
      </c>
      <c r="AC23" s="4" t="s">
        <v>45</v>
      </c>
      <c r="AD23" s="13">
        <v>0.1</v>
      </c>
      <c r="AE23" s="11">
        <v>1</v>
      </c>
      <c r="AF23" s="11">
        <v>0</v>
      </c>
      <c r="AG23" s="4" t="s">
        <v>46</v>
      </c>
      <c r="AH23" s="61"/>
      <c r="AI23" s="61"/>
      <c r="AJ23" s="61"/>
    </row>
    <row x14ac:dyDescent="0.25" r="24" customHeight="1" ht="42.75">
      <c r="A24" s="23">
        <v>213.13</v>
      </c>
      <c r="B24" s="6">
        <f>IF(ISNUMBER(A24),
IF(AND(A24=INT(A24), MOD(A24, 10) = 0), 0,
IF(AND(A24=INT(A24), LEN(A24)=2), 1,
IF(AND(A24=INT(A24), LEN(A24)=3), 2,
LEN(A24) - FIND(".", A24) + 2)
)
),
"")</f>
      </c>
      <c r="C24" s="7" t="s">
        <v>465</v>
      </c>
      <c r="D24" s="8">
        <f>REPT("   ", B24*2) &amp; C24</f>
      </c>
      <c r="E24" s="7" t="s">
        <v>35</v>
      </c>
      <c r="F24" s="9"/>
      <c r="G24" s="9"/>
      <c r="H24" s="9"/>
      <c r="I24" s="9"/>
      <c r="J24" s="14"/>
      <c r="K24" s="14">
        <f>721.21</f>
      </c>
      <c r="L24" s="15" t="s">
        <v>74</v>
      </c>
      <c r="M24" s="7" t="s">
        <v>466</v>
      </c>
      <c r="N24" s="14"/>
      <c r="O24" s="15" t="s">
        <v>76</v>
      </c>
      <c r="P24" s="14"/>
      <c r="Q24" s="14">
        <v>2024</v>
      </c>
      <c r="R24" s="15" t="s">
        <v>86</v>
      </c>
      <c r="S24" s="7"/>
      <c r="T24" s="7"/>
      <c r="U24" s="7"/>
      <c r="V24" s="15"/>
      <c r="W24" s="4" t="s">
        <v>280</v>
      </c>
      <c r="X24" s="12">
        <f>0.9*$J24</f>
      </c>
      <c r="Y24" s="12">
        <f>1.5*J24</f>
      </c>
      <c r="Z24" s="4" t="s">
        <v>45</v>
      </c>
      <c r="AA24" s="13">
        <f>0.9*K24</f>
      </c>
      <c r="AB24" s="13">
        <f>1.3*K24</f>
      </c>
      <c r="AC24" s="4" t="s">
        <v>45</v>
      </c>
      <c r="AD24" s="13">
        <v>0.1</v>
      </c>
      <c r="AE24" s="11">
        <v>1</v>
      </c>
      <c r="AF24" s="11">
        <v>0</v>
      </c>
      <c r="AG24" s="4" t="s">
        <v>46</v>
      </c>
      <c r="AH24" s="61"/>
      <c r="AI24" s="61"/>
      <c r="AJ24" s="61"/>
    </row>
    <row x14ac:dyDescent="0.25" r="25" customHeight="1" ht="15">
      <c r="A25" s="23">
        <v>213.2</v>
      </c>
      <c r="B25" s="6">
        <f>IF(ISNUMBER(A25),
IF(AND(A25=INT(A25), MOD(A25, 10) = 0), 0,
IF(AND(A25=INT(A25), LEN(A25)=2), 1,
IF(AND(A25=INT(A25), LEN(A25)=3), 2,
LEN(A25) - FIND(".", A25) + 2)
)
),
"")</f>
      </c>
      <c r="C25" s="7" t="s">
        <v>467</v>
      </c>
      <c r="D25" s="8">
        <f>REPT("   ", B25*2) &amp; C25</f>
      </c>
      <c r="E25" s="9"/>
      <c r="F25" s="9"/>
      <c r="G25" s="9"/>
      <c r="H25" s="9"/>
      <c r="I25" s="9"/>
      <c r="J25" s="14"/>
      <c r="K25" s="14"/>
      <c r="L25" s="14"/>
      <c r="M25" s="19"/>
      <c r="N25" s="14"/>
      <c r="O25" s="14"/>
      <c r="P25" s="14"/>
      <c r="Q25" s="14"/>
      <c r="R25" s="14"/>
      <c r="S25" s="19"/>
      <c r="T25" s="7"/>
      <c r="U25" s="24"/>
      <c r="V25" s="15"/>
      <c r="W25" s="4"/>
      <c r="X25" s="12"/>
      <c r="Y25" s="12"/>
      <c r="Z25" s="4"/>
      <c r="AA25" s="13"/>
      <c r="AB25" s="13"/>
      <c r="AC25" s="4"/>
      <c r="AD25" s="13"/>
      <c r="AE25" s="11"/>
      <c r="AF25" s="11"/>
      <c r="AG25" s="4"/>
      <c r="AH25" s="61"/>
      <c r="AI25" s="61"/>
      <c r="AJ25" s="61"/>
    </row>
    <row x14ac:dyDescent="0.25" r="26" customHeight="1" ht="28.5">
      <c r="A26" s="23">
        <v>213.21</v>
      </c>
      <c r="B26" s="6">
        <f>IF(ISNUMBER(A26),
IF(AND(A26=INT(A26), MOD(A26, 10) = 0), 0,
IF(AND(A26=INT(A26), LEN(A26)=2), 1,
IF(AND(A26=INT(A26), LEN(A26)=3), 2,
LEN(A26) - FIND(".", A26) + 2)
)
),
"")</f>
      </c>
      <c r="C26" s="7" t="s">
        <v>468</v>
      </c>
      <c r="D26" s="8">
        <f>REPT("   ", B26*2) &amp; C26</f>
      </c>
      <c r="E26" s="7" t="s">
        <v>35</v>
      </c>
      <c r="F26" s="9"/>
      <c r="G26" s="9"/>
      <c r="H26" s="9"/>
      <c r="I26" s="9"/>
      <c r="J26" s="14"/>
      <c r="K26" s="14">
        <f>1200</f>
      </c>
      <c r="L26" s="15" t="s">
        <v>74</v>
      </c>
      <c r="M26" s="7" t="s">
        <v>469</v>
      </c>
      <c r="N26" s="14"/>
      <c r="O26" s="15" t="s">
        <v>76</v>
      </c>
      <c r="P26" s="14"/>
      <c r="Q26" s="14">
        <v>2024</v>
      </c>
      <c r="R26" s="15" t="s">
        <v>86</v>
      </c>
      <c r="S26" s="16" t="s">
        <v>462</v>
      </c>
      <c r="T26" s="16" t="s">
        <v>70</v>
      </c>
      <c r="U26" s="22" t="s">
        <v>71</v>
      </c>
      <c r="V26" s="15"/>
      <c r="W26" s="4" t="s">
        <v>280</v>
      </c>
      <c r="X26" s="12">
        <f>0.9*$J26</f>
      </c>
      <c r="Y26" s="12">
        <f>1.5*J26</f>
      </c>
      <c r="Z26" s="4" t="s">
        <v>45</v>
      </c>
      <c r="AA26" s="11">
        <f>0.9*K26</f>
      </c>
      <c r="AB26" s="11">
        <f>1.3*K26</f>
      </c>
      <c r="AC26" s="4" t="s">
        <v>45</v>
      </c>
      <c r="AD26" s="13">
        <v>0.1</v>
      </c>
      <c r="AE26" s="11">
        <v>1</v>
      </c>
      <c r="AF26" s="11">
        <v>0</v>
      </c>
      <c r="AG26" s="4" t="s">
        <v>46</v>
      </c>
      <c r="AH26" s="61"/>
      <c r="AI26" s="61"/>
      <c r="AJ26" s="61"/>
    </row>
    <row x14ac:dyDescent="0.25" r="27" customHeight="1" ht="28.5">
      <c r="A27" s="23">
        <v>213.22</v>
      </c>
      <c r="B27" s="6">
        <f>IF(ISNUMBER(A27),
IF(AND(A27=INT(A27), MOD(A27, 10) = 0), 0,
IF(AND(A27=INT(A27), LEN(A27)=2), 1,
IF(AND(A27=INT(A27), LEN(A27)=3), 2,
LEN(A27) - FIND(".", A27) + 2)
)
),
"")</f>
      </c>
      <c r="C27" s="7" t="s">
        <v>470</v>
      </c>
      <c r="D27" s="8">
        <f>REPT("   ", B27*2) &amp; C27</f>
      </c>
      <c r="E27" s="7" t="s">
        <v>35</v>
      </c>
      <c r="F27" s="9"/>
      <c r="G27" s="9"/>
      <c r="H27" s="9"/>
      <c r="I27" s="9"/>
      <c r="J27" s="14"/>
      <c r="K27" s="14">
        <f>943.9</f>
      </c>
      <c r="L27" s="15" t="s">
        <v>74</v>
      </c>
      <c r="M27" s="7" t="s">
        <v>471</v>
      </c>
      <c r="N27" s="14"/>
      <c r="O27" s="15" t="s">
        <v>76</v>
      </c>
      <c r="P27" s="14"/>
      <c r="Q27" s="14">
        <v>2024</v>
      </c>
      <c r="R27" s="15" t="s">
        <v>86</v>
      </c>
      <c r="S27" s="7"/>
      <c r="T27" s="7"/>
      <c r="U27" s="7"/>
      <c r="V27" s="15"/>
      <c r="W27" s="4" t="s">
        <v>280</v>
      </c>
      <c r="X27" s="12">
        <f>0.9*$J27</f>
      </c>
      <c r="Y27" s="12">
        <f>1.5*J27</f>
      </c>
      <c r="Z27" s="4" t="s">
        <v>45</v>
      </c>
      <c r="AA27" s="13">
        <f>0.9*K27</f>
      </c>
      <c r="AB27" s="13">
        <f>1.3*K27</f>
      </c>
      <c r="AC27" s="4" t="s">
        <v>45</v>
      </c>
      <c r="AD27" s="13">
        <v>0.1</v>
      </c>
      <c r="AE27" s="11">
        <v>1</v>
      </c>
      <c r="AF27" s="11">
        <v>0</v>
      </c>
      <c r="AG27" s="4" t="s">
        <v>46</v>
      </c>
      <c r="AH27" s="61"/>
      <c r="AI27" s="61"/>
      <c r="AJ27" s="61"/>
    </row>
    <row x14ac:dyDescent="0.25" r="28" customHeight="1" ht="42.75">
      <c r="A28" s="23">
        <v>213.23</v>
      </c>
      <c r="B28" s="6">
        <f>IF(ISNUMBER(A28),
IF(AND(A28=INT(A28), MOD(A28, 10) = 0), 0,
IF(AND(A28=INT(A28), LEN(A28)=2), 1,
IF(AND(A28=INT(A28), LEN(A28)=3), 2,
LEN(A28) - FIND(".", A28) + 2)
)
),
"")</f>
      </c>
      <c r="C28" s="7" t="s">
        <v>472</v>
      </c>
      <c r="D28" s="8">
        <f>REPT("   ", B28*2) &amp; C28</f>
      </c>
      <c r="E28" s="7" t="s">
        <v>35</v>
      </c>
      <c r="F28" s="9"/>
      <c r="G28" s="9"/>
      <c r="H28" s="9"/>
      <c r="I28" s="9"/>
      <c r="J28" s="14"/>
      <c r="K28" s="14">
        <f>721.21</f>
      </c>
      <c r="L28" s="15" t="s">
        <v>74</v>
      </c>
      <c r="M28" s="7" t="s">
        <v>473</v>
      </c>
      <c r="N28" s="14"/>
      <c r="O28" s="15" t="s">
        <v>76</v>
      </c>
      <c r="P28" s="14"/>
      <c r="Q28" s="14">
        <v>2024</v>
      </c>
      <c r="R28" s="15" t="s">
        <v>86</v>
      </c>
      <c r="S28" s="7"/>
      <c r="T28" s="7"/>
      <c r="U28" s="7"/>
      <c r="V28" s="15"/>
      <c r="W28" s="4" t="s">
        <v>280</v>
      </c>
      <c r="X28" s="12">
        <f>0.9*$J28</f>
      </c>
      <c r="Y28" s="12">
        <f>1.5*J28</f>
      </c>
      <c r="Z28" s="4" t="s">
        <v>45</v>
      </c>
      <c r="AA28" s="13">
        <f>0.9*K28</f>
      </c>
      <c r="AB28" s="13">
        <f>1.3*K28</f>
      </c>
      <c r="AC28" s="4" t="s">
        <v>45</v>
      </c>
      <c r="AD28" s="13">
        <v>0.1</v>
      </c>
      <c r="AE28" s="11">
        <v>1</v>
      </c>
      <c r="AF28" s="11">
        <v>0</v>
      </c>
      <c r="AG28" s="4" t="s">
        <v>46</v>
      </c>
      <c r="AH28" s="61"/>
      <c r="AI28" s="61"/>
      <c r="AJ28" s="61"/>
    </row>
    <row x14ac:dyDescent="0.25" r="29" customHeight="1" ht="15">
      <c r="A29" s="23">
        <v>213.3</v>
      </c>
      <c r="B29" s="6">
        <f>IF(ISNUMBER(A29),
IF(AND(A29=INT(A29), MOD(A29, 10) = 0), 0,
IF(AND(A29=INT(A29), LEN(A29)=2), 1,
IF(AND(A29=INT(A29), LEN(A29)=3), 2,
LEN(A29) - FIND(".", A29) + 2)
)
),
"")</f>
      </c>
      <c r="C29" s="7" t="s">
        <v>474</v>
      </c>
      <c r="D29" s="8">
        <f>REPT("   ", B29*2) &amp; C29</f>
      </c>
      <c r="E29" s="9"/>
      <c r="F29" s="7" t="s">
        <v>475</v>
      </c>
      <c r="G29" s="7" t="s">
        <v>476</v>
      </c>
      <c r="H29" s="9"/>
      <c r="I29" s="9"/>
      <c r="J29" s="14"/>
      <c r="K29" s="14"/>
      <c r="L29" s="15"/>
      <c r="M29" s="7"/>
      <c r="N29" s="14"/>
      <c r="O29" s="15"/>
      <c r="P29" s="14"/>
      <c r="Q29" s="14"/>
      <c r="R29" s="15"/>
      <c r="S29" s="7"/>
      <c r="T29" s="7"/>
      <c r="U29" s="24"/>
      <c r="V29" s="15"/>
      <c r="W29" s="4"/>
      <c r="X29" s="12"/>
      <c r="Y29" s="12"/>
      <c r="Z29" s="4"/>
      <c r="AA29" s="13"/>
      <c r="AB29" s="13"/>
      <c r="AC29" s="4"/>
      <c r="AD29" s="13"/>
      <c r="AE29" s="11"/>
      <c r="AF29" s="11"/>
      <c r="AG29" s="4"/>
      <c r="AH29" s="61"/>
      <c r="AI29" s="61"/>
      <c r="AJ29" s="61"/>
    </row>
    <row x14ac:dyDescent="0.25" r="30" customHeight="1" ht="42.75">
      <c r="A30" s="23">
        <v>213.31</v>
      </c>
      <c r="B30" s="6">
        <f>IF(ISNUMBER(A30),
IF(AND(A30=INT(A30), MOD(A30, 10) = 0), 0,
IF(AND(A30=INT(A30), LEN(A30)=2), 1,
IF(AND(A30=INT(A30), LEN(A30)=3), 2,
LEN(A30) - FIND(".", A30) + 2)
)
),
"")</f>
      </c>
      <c r="C30" s="7" t="s">
        <v>477</v>
      </c>
      <c r="D30" s="8">
        <f>REPT("   ", B30*2) &amp; C30</f>
      </c>
      <c r="E30" s="7" t="s">
        <v>35</v>
      </c>
      <c r="F30" s="7" t="s">
        <v>475</v>
      </c>
      <c r="G30" s="7" t="s">
        <v>476</v>
      </c>
      <c r="H30" s="9"/>
      <c r="I30" s="9"/>
      <c r="J30" s="14"/>
      <c r="K30" s="14">
        <f>1200</f>
      </c>
      <c r="L30" s="15" t="s">
        <v>74</v>
      </c>
      <c r="M30" s="7" t="s">
        <v>478</v>
      </c>
      <c r="N30" s="14"/>
      <c r="O30" s="15" t="s">
        <v>76</v>
      </c>
      <c r="P30" s="14"/>
      <c r="Q30" s="14">
        <v>2024</v>
      </c>
      <c r="R30" s="15" t="s">
        <v>86</v>
      </c>
      <c r="S30" s="16" t="s">
        <v>462</v>
      </c>
      <c r="T30" s="16" t="s">
        <v>70</v>
      </c>
      <c r="U30" s="22" t="s">
        <v>71</v>
      </c>
      <c r="V30" s="15"/>
      <c r="W30" s="4" t="s">
        <v>280</v>
      </c>
      <c r="X30" s="12">
        <f>0.9*$J30</f>
      </c>
      <c r="Y30" s="12">
        <f>1.5*J30</f>
      </c>
      <c r="Z30" s="4" t="s">
        <v>45</v>
      </c>
      <c r="AA30" s="11">
        <f>0.9*K30</f>
      </c>
      <c r="AB30" s="11">
        <f>1.3*K30</f>
      </c>
      <c r="AC30" s="4" t="s">
        <v>45</v>
      </c>
      <c r="AD30" s="13">
        <v>0.1</v>
      </c>
      <c r="AE30" s="11">
        <v>1</v>
      </c>
      <c r="AF30" s="11">
        <v>0</v>
      </c>
      <c r="AG30" s="4" t="s">
        <v>46</v>
      </c>
      <c r="AH30" s="61"/>
      <c r="AI30" s="61"/>
      <c r="AJ30" s="61"/>
    </row>
    <row x14ac:dyDescent="0.25" r="31" customHeight="1" ht="42.75">
      <c r="A31" s="23">
        <v>213.32</v>
      </c>
      <c r="B31" s="6">
        <f>IF(ISNUMBER(A31),
IF(AND(A31=INT(A31), MOD(A31, 10) = 0), 0,
IF(AND(A31=INT(A31), LEN(A31)=2), 1,
IF(AND(A31=INT(A31), LEN(A31)=3), 2,
LEN(A31) - FIND(".", A31) + 2)
)
),
"")</f>
      </c>
      <c r="C31" s="7" t="s">
        <v>479</v>
      </c>
      <c r="D31" s="8">
        <f>REPT("   ", B31*2) &amp; C31</f>
      </c>
      <c r="E31" s="7" t="s">
        <v>35</v>
      </c>
      <c r="F31" s="7" t="s">
        <v>475</v>
      </c>
      <c r="G31" s="7" t="s">
        <v>476</v>
      </c>
      <c r="H31" s="9"/>
      <c r="I31" s="9"/>
      <c r="J31" s="14"/>
      <c r="K31" s="14">
        <f>943.9</f>
      </c>
      <c r="L31" s="15" t="s">
        <v>74</v>
      </c>
      <c r="M31" s="7" t="s">
        <v>480</v>
      </c>
      <c r="N31" s="14"/>
      <c r="O31" s="15" t="s">
        <v>76</v>
      </c>
      <c r="P31" s="14"/>
      <c r="Q31" s="14">
        <v>2024</v>
      </c>
      <c r="R31" s="15" t="s">
        <v>86</v>
      </c>
      <c r="S31" s="7"/>
      <c r="T31" s="7"/>
      <c r="U31" s="7"/>
      <c r="V31" s="15"/>
      <c r="W31" s="4" t="s">
        <v>280</v>
      </c>
      <c r="X31" s="12">
        <f>0.9*$J31</f>
      </c>
      <c r="Y31" s="12">
        <f>1.5*J31</f>
      </c>
      <c r="Z31" s="4" t="s">
        <v>45</v>
      </c>
      <c r="AA31" s="13">
        <f>0.9*K31</f>
      </c>
      <c r="AB31" s="13">
        <f>1.3*K31</f>
      </c>
      <c r="AC31" s="4" t="s">
        <v>45</v>
      </c>
      <c r="AD31" s="13">
        <v>0.1</v>
      </c>
      <c r="AE31" s="11">
        <v>1</v>
      </c>
      <c r="AF31" s="11">
        <v>0</v>
      </c>
      <c r="AG31" s="4" t="s">
        <v>46</v>
      </c>
      <c r="AH31" s="61"/>
      <c r="AI31" s="61"/>
      <c r="AJ31" s="61"/>
    </row>
    <row x14ac:dyDescent="0.25" r="32" customHeight="1" ht="57">
      <c r="A32" s="23">
        <v>213.33</v>
      </c>
      <c r="B32" s="6">
        <f>IF(ISNUMBER(A32),
IF(AND(A32=INT(A32), MOD(A32, 10) = 0), 0,
IF(AND(A32=INT(A32), LEN(A32)=2), 1,
IF(AND(A32=INT(A32), LEN(A32)=3), 2,
LEN(A32) - FIND(".", A32) + 2)
)
),
"")</f>
      </c>
      <c r="C32" s="7" t="s">
        <v>481</v>
      </c>
      <c r="D32" s="8">
        <f>REPT("   ", B32*2) &amp; C32</f>
      </c>
      <c r="E32" s="7" t="s">
        <v>35</v>
      </c>
      <c r="F32" s="7" t="s">
        <v>475</v>
      </c>
      <c r="G32" s="7" t="s">
        <v>476</v>
      </c>
      <c r="H32" s="9"/>
      <c r="I32" s="9"/>
      <c r="J32" s="14"/>
      <c r="K32" s="14">
        <f>721.21</f>
      </c>
      <c r="L32" s="15" t="s">
        <v>74</v>
      </c>
      <c r="M32" s="7" t="s">
        <v>482</v>
      </c>
      <c r="N32" s="14"/>
      <c r="O32" s="15" t="s">
        <v>76</v>
      </c>
      <c r="P32" s="14"/>
      <c r="Q32" s="14">
        <v>2024</v>
      </c>
      <c r="R32" s="15" t="s">
        <v>86</v>
      </c>
      <c r="S32" s="7"/>
      <c r="T32" s="7"/>
      <c r="U32" s="7"/>
      <c r="V32" s="15"/>
      <c r="W32" s="4" t="s">
        <v>280</v>
      </c>
      <c r="X32" s="12">
        <f>0.9*$J32</f>
      </c>
      <c r="Y32" s="12">
        <f>1.5*J32</f>
      </c>
      <c r="Z32" s="4" t="s">
        <v>45</v>
      </c>
      <c r="AA32" s="13">
        <f>0.9*K32</f>
      </c>
      <c r="AB32" s="13">
        <f>1.3*K32</f>
      </c>
      <c r="AC32" s="4" t="s">
        <v>45</v>
      </c>
      <c r="AD32" s="13">
        <v>0.1</v>
      </c>
      <c r="AE32" s="11">
        <v>1</v>
      </c>
      <c r="AF32" s="11">
        <v>0</v>
      </c>
      <c r="AG32" s="4" t="s">
        <v>46</v>
      </c>
      <c r="AH32" s="61"/>
      <c r="AI32" s="61"/>
      <c r="AJ32" s="61"/>
    </row>
    <row x14ac:dyDescent="0.25" r="33" customHeight="1" ht="57">
      <c r="A33" s="23">
        <v>213.34</v>
      </c>
      <c r="B33" s="6">
        <f>IF(ISNUMBER(A33),
IF(AND(A33=INT(A33), MOD(A33, 10) = 0), 0,
IF(AND(A33=INT(A33), LEN(A33)=2), 1,
IF(AND(A33=INT(A33), LEN(A33)=3), 2,
LEN(A33) - FIND(".", A33) + 2)
)
),
"")</f>
      </c>
      <c r="C33" s="7" t="s">
        <v>483</v>
      </c>
      <c r="D33" s="8">
        <f>REPT("   ", B33*2) &amp; C33</f>
      </c>
      <c r="E33" s="7" t="s">
        <v>35</v>
      </c>
      <c r="F33" s="7" t="s">
        <v>475</v>
      </c>
      <c r="G33" s="7" t="s">
        <v>476</v>
      </c>
      <c r="H33" s="9"/>
      <c r="I33" s="9"/>
      <c r="J33" s="14"/>
      <c r="K33" s="14">
        <f>60848829/9373</f>
      </c>
      <c r="L33" s="15" t="s">
        <v>452</v>
      </c>
      <c r="M33" s="7" t="s">
        <v>484</v>
      </c>
      <c r="N33" s="14">
        <v>9373</v>
      </c>
      <c r="O33" s="15" t="s">
        <v>454</v>
      </c>
      <c r="P33" s="14">
        <v>1</v>
      </c>
      <c r="Q33" s="14">
        <v>2018</v>
      </c>
      <c r="R33" s="15" t="s">
        <v>86</v>
      </c>
      <c r="S33" s="7" t="s">
        <v>455</v>
      </c>
      <c r="T33" s="7" t="s">
        <v>455</v>
      </c>
      <c r="U33" s="25" t="s">
        <v>456</v>
      </c>
      <c r="V33" s="15"/>
      <c r="W33" s="4" t="s">
        <v>280</v>
      </c>
      <c r="X33" s="12">
        <f>0.9*$J33</f>
      </c>
      <c r="Y33" s="12">
        <f>1.5*J33</f>
      </c>
      <c r="Z33" s="4" t="s">
        <v>45</v>
      </c>
      <c r="AA33" s="13">
        <f>0.9*K33</f>
      </c>
      <c r="AB33" s="13">
        <f>1.3*K33</f>
      </c>
      <c r="AC33" s="4" t="s">
        <v>45</v>
      </c>
      <c r="AD33" s="13">
        <v>0.1</v>
      </c>
      <c r="AE33" s="11">
        <v>1</v>
      </c>
      <c r="AF33" s="11">
        <v>0</v>
      </c>
      <c r="AG33" s="4" t="s">
        <v>46</v>
      </c>
      <c r="AH33" s="61"/>
      <c r="AI33" s="61"/>
      <c r="AJ33" s="61"/>
    </row>
    <row x14ac:dyDescent="0.25" r="34" customHeight="1" ht="15">
      <c r="A34" s="20">
        <v>214</v>
      </c>
      <c r="B34" s="6">
        <f>IF(ISNUMBER(A34),
IF(AND(A34=INT(A34), MOD(A34, 10) = 0), 0,
IF(AND(A34=INT(A34), LEN(A34)=2), 1,
IF(AND(A34=INT(A34), LEN(A34)=3), 2,
LEN(A34) - FIND(".", A34) + 2)
)
),
"")</f>
      </c>
      <c r="C34" s="7" t="s">
        <v>382</v>
      </c>
      <c r="D34" s="8">
        <f>REPT("   ", B34*2) &amp; C34</f>
      </c>
      <c r="E34" s="9"/>
      <c r="F34" s="9"/>
      <c r="G34" s="9"/>
      <c r="H34" s="9"/>
      <c r="I34" s="9"/>
      <c r="J34" s="14"/>
      <c r="K34" s="14"/>
      <c r="L34" s="14"/>
      <c r="M34" s="19"/>
      <c r="N34" s="14"/>
      <c r="O34" s="14"/>
      <c r="P34" s="14"/>
      <c r="Q34" s="14"/>
      <c r="R34" s="14"/>
      <c r="S34" s="19"/>
      <c r="T34" s="15"/>
      <c r="U34" s="15"/>
      <c r="V34" s="15"/>
      <c r="W34" s="4"/>
      <c r="X34" s="12"/>
      <c r="Y34" s="12"/>
      <c r="Z34" s="4"/>
      <c r="AA34" s="13"/>
      <c r="AB34" s="13"/>
      <c r="AC34" s="4"/>
      <c r="AD34" s="13"/>
      <c r="AE34" s="11"/>
      <c r="AF34" s="11"/>
      <c r="AG34" s="4"/>
      <c r="AH34" s="61"/>
      <c r="AI34" s="61"/>
      <c r="AJ34" s="61"/>
    </row>
    <row x14ac:dyDescent="0.25" r="35" customHeight="1" ht="15">
      <c r="A35" s="23">
        <v>214.1</v>
      </c>
      <c r="B35" s="6">
        <f>IF(ISNUMBER(A35),
IF(AND(A35=INT(A35), MOD(A35, 10) = 0), 0,
IF(AND(A35=INT(A35), LEN(A35)=2), 1,
IF(AND(A35=INT(A35), LEN(A35)=3), 2,
LEN(A35) - FIND(".", A35) + 2)
)
),
"")</f>
      </c>
      <c r="C35" s="7" t="s">
        <v>485</v>
      </c>
      <c r="D35" s="8">
        <f>REPT("   ", B35*2) &amp; C35</f>
      </c>
      <c r="E35" s="9"/>
      <c r="F35" s="9"/>
      <c r="G35" s="9"/>
      <c r="H35" s="9"/>
      <c r="I35" s="9"/>
      <c r="J35" s="14"/>
      <c r="K35" s="14"/>
      <c r="L35" s="14"/>
      <c r="M35" s="19"/>
      <c r="N35" s="14"/>
      <c r="O35" s="14"/>
      <c r="P35" s="14"/>
      <c r="Q35" s="14"/>
      <c r="R35" s="14"/>
      <c r="S35" s="19"/>
      <c r="T35" s="15"/>
      <c r="U35" s="15"/>
      <c r="V35" s="15"/>
      <c r="W35" s="4"/>
      <c r="X35" s="12"/>
      <c r="Y35" s="12"/>
      <c r="Z35" s="4"/>
      <c r="AA35" s="13"/>
      <c r="AB35" s="13"/>
      <c r="AC35" s="4"/>
      <c r="AD35" s="13"/>
      <c r="AE35" s="11"/>
      <c r="AF35" s="11"/>
      <c r="AG35" s="4"/>
      <c r="AH35" s="61"/>
      <c r="AI35" s="61"/>
      <c r="AJ35" s="61"/>
    </row>
    <row x14ac:dyDescent="0.25" r="36" customHeight="1" ht="15">
      <c r="A36" s="23">
        <v>214.11</v>
      </c>
      <c r="B36" s="6">
        <f>IF(ISNUMBER(A36),
IF(AND(A36=INT(A36), MOD(A36, 10) = 0), 0,
IF(AND(A36=INT(A36), LEN(A36)=2), 1,
IF(AND(A36=INT(A36), LEN(A36)=3), 2,
LEN(A36) - FIND(".", A36) + 2)
)
),
"")</f>
      </c>
      <c r="C36" s="7" t="s">
        <v>486</v>
      </c>
      <c r="D36" s="8">
        <f>REPT("   ", B36*2) &amp; C36</f>
      </c>
      <c r="E36" s="9"/>
      <c r="F36" s="9"/>
      <c r="G36" s="9"/>
      <c r="H36" s="9"/>
      <c r="I36" s="9"/>
      <c r="J36" s="14"/>
      <c r="K36" s="14"/>
      <c r="L36" s="14"/>
      <c r="M36" s="19"/>
      <c r="N36" s="14"/>
      <c r="O36" s="14"/>
      <c r="P36" s="14"/>
      <c r="Q36" s="14"/>
      <c r="R36" s="14"/>
      <c r="S36" s="19"/>
      <c r="T36" s="15"/>
      <c r="U36" s="15"/>
      <c r="V36" s="15"/>
      <c r="W36" s="4"/>
      <c r="X36" s="12"/>
      <c r="Y36" s="12"/>
      <c r="Z36" s="4"/>
      <c r="AA36" s="13"/>
      <c r="AB36" s="13"/>
      <c r="AC36" s="4"/>
      <c r="AD36" s="13"/>
      <c r="AE36" s="11"/>
      <c r="AF36" s="11"/>
      <c r="AG36" s="4"/>
      <c r="AH36" s="61"/>
      <c r="AI36" s="61"/>
      <c r="AJ36" s="61"/>
    </row>
    <row x14ac:dyDescent="0.25" r="37" customHeight="1" ht="27.75">
      <c r="A37" s="23">
        <v>214.111</v>
      </c>
      <c r="B37" s="6">
        <f>IF(ISNUMBER(A37),
IF(AND(A37=INT(A37), MOD(A37, 10) = 0), 0,
IF(AND(A37=INT(A37), LEN(A37)=2), 1,
IF(AND(A37=INT(A37), LEN(A37)=3), 2,
LEN(A37) - FIND(".", A37) + 2)
)
),
"")</f>
      </c>
      <c r="C37" s="7" t="s">
        <v>487</v>
      </c>
      <c r="D37" s="8">
        <f>REPT("   ", B37*2) &amp; C37</f>
      </c>
      <c r="E37" s="7" t="s">
        <v>35</v>
      </c>
      <c r="F37" s="9"/>
      <c r="G37" s="9"/>
      <c r="H37" s="9"/>
      <c r="I37" s="9"/>
      <c r="J37" s="14"/>
      <c r="K37" s="14">
        <f>1200 *1.53</f>
      </c>
      <c r="L37" s="15" t="s">
        <v>74</v>
      </c>
      <c r="M37" s="7" t="s">
        <v>488</v>
      </c>
      <c r="N37" s="14"/>
      <c r="O37" s="15" t="s">
        <v>76</v>
      </c>
      <c r="P37" s="14"/>
      <c r="Q37" s="14">
        <v>2024</v>
      </c>
      <c r="R37" s="15" t="s">
        <v>86</v>
      </c>
      <c r="S37" s="16" t="s">
        <v>69</v>
      </c>
      <c r="T37" s="16" t="s">
        <v>70</v>
      </c>
      <c r="U37" s="22" t="s">
        <v>71</v>
      </c>
      <c r="V37" s="15"/>
      <c r="W37" s="4" t="s">
        <v>280</v>
      </c>
      <c r="X37" s="12">
        <f>0.9*$J37</f>
      </c>
      <c r="Y37" s="12">
        <f>1.5*J37</f>
      </c>
      <c r="Z37" s="4"/>
      <c r="AA37" s="13">
        <f>0.9*K37</f>
      </c>
      <c r="AB37" s="13">
        <f>1.3*K37</f>
      </c>
      <c r="AC37" s="4" t="s">
        <v>45</v>
      </c>
      <c r="AD37" s="13">
        <v>0.1</v>
      </c>
      <c r="AE37" s="11">
        <v>1</v>
      </c>
      <c r="AF37" s="11">
        <v>0</v>
      </c>
      <c r="AG37" s="4" t="s">
        <v>46</v>
      </c>
      <c r="AH37" s="61"/>
      <c r="AI37" s="61"/>
      <c r="AJ37" s="61"/>
    </row>
    <row x14ac:dyDescent="0.25" r="38" customHeight="1" ht="27.75">
      <c r="A38" s="23">
        <v>214.112</v>
      </c>
      <c r="B38" s="6">
        <f>IF(ISNUMBER(A38),
IF(AND(A38=INT(A38), MOD(A38, 10) = 0), 0,
IF(AND(A38=INT(A38), LEN(A38)=2), 1,
IF(AND(A38=INT(A38), LEN(A38)=3), 2,
LEN(A38) - FIND(".", A38) + 2)
)
),
"")</f>
      </c>
      <c r="C38" s="7" t="s">
        <v>489</v>
      </c>
      <c r="D38" s="8">
        <f>REPT("   ", B38*2) &amp; C38</f>
      </c>
      <c r="E38" s="7" t="s">
        <v>35</v>
      </c>
      <c r="F38" s="9"/>
      <c r="G38" s="9"/>
      <c r="H38" s="9"/>
      <c r="I38" s="9"/>
      <c r="J38" s="14"/>
      <c r="K38" s="14">
        <f>943.9*1.53</f>
      </c>
      <c r="L38" s="15" t="s">
        <v>74</v>
      </c>
      <c r="M38" s="7" t="s">
        <v>490</v>
      </c>
      <c r="N38" s="14"/>
      <c r="O38" s="15" t="s">
        <v>76</v>
      </c>
      <c r="P38" s="14"/>
      <c r="Q38" s="14">
        <v>2024</v>
      </c>
      <c r="R38" s="15" t="s">
        <v>86</v>
      </c>
      <c r="S38" s="7"/>
      <c r="T38" s="7"/>
      <c r="U38" s="7"/>
      <c r="V38" s="15"/>
      <c r="W38" s="4" t="s">
        <v>280</v>
      </c>
      <c r="X38" s="12">
        <f>0.9*$J38</f>
      </c>
      <c r="Y38" s="12">
        <f>1.5*J38</f>
      </c>
      <c r="Z38" s="4" t="s">
        <v>45</v>
      </c>
      <c r="AA38" s="13">
        <f>0.9*K38</f>
      </c>
      <c r="AB38" s="13">
        <f>1.3*K38</f>
      </c>
      <c r="AC38" s="4" t="s">
        <v>45</v>
      </c>
      <c r="AD38" s="13">
        <v>0.1</v>
      </c>
      <c r="AE38" s="11">
        <v>1</v>
      </c>
      <c r="AF38" s="11">
        <v>0</v>
      </c>
      <c r="AG38" s="4" t="s">
        <v>46</v>
      </c>
      <c r="AH38" s="61"/>
      <c r="AI38" s="61"/>
      <c r="AJ38" s="61"/>
    </row>
    <row x14ac:dyDescent="0.25" r="39" customHeight="1" ht="42">
      <c r="A39" s="23">
        <v>214.113</v>
      </c>
      <c r="B39" s="6">
        <f>IF(ISNUMBER(A39),
IF(AND(A39=INT(A39), MOD(A39, 10) = 0), 0,
IF(AND(A39=INT(A39), LEN(A39)=2), 1,
IF(AND(A39=INT(A39), LEN(A39)=3), 2,
LEN(A39) - FIND(".", A39) + 2)
)
),
"")</f>
      </c>
      <c r="C39" s="7" t="s">
        <v>491</v>
      </c>
      <c r="D39" s="8">
        <f>REPT("   ", B39*2) &amp; C39</f>
      </c>
      <c r="E39" s="7" t="s">
        <v>35</v>
      </c>
      <c r="F39" s="9"/>
      <c r="G39" s="9"/>
      <c r="H39" s="9"/>
      <c r="I39" s="9"/>
      <c r="J39" s="14"/>
      <c r="K39" s="14">
        <f>721.21*1.53</f>
      </c>
      <c r="L39" s="15" t="s">
        <v>74</v>
      </c>
      <c r="M39" s="7" t="s">
        <v>492</v>
      </c>
      <c r="N39" s="14"/>
      <c r="O39" s="15" t="s">
        <v>76</v>
      </c>
      <c r="P39" s="14"/>
      <c r="Q39" s="14">
        <v>2024</v>
      </c>
      <c r="R39" s="15" t="s">
        <v>86</v>
      </c>
      <c r="S39" s="7"/>
      <c r="T39" s="7"/>
      <c r="U39" s="7"/>
      <c r="V39" s="15"/>
      <c r="W39" s="4" t="s">
        <v>280</v>
      </c>
      <c r="X39" s="12">
        <f>0.9*$J39</f>
      </c>
      <c r="Y39" s="12">
        <f>1.5*J39</f>
      </c>
      <c r="Z39" s="4" t="s">
        <v>45</v>
      </c>
      <c r="AA39" s="13">
        <f>0.9*K39</f>
      </c>
      <c r="AB39" s="13">
        <f>1.3*K39</f>
      </c>
      <c r="AC39" s="4" t="s">
        <v>45</v>
      </c>
      <c r="AD39" s="13">
        <v>0.1</v>
      </c>
      <c r="AE39" s="11">
        <v>1</v>
      </c>
      <c r="AF39" s="11">
        <v>0</v>
      </c>
      <c r="AG39" s="4" t="s">
        <v>46</v>
      </c>
      <c r="AH39" s="61"/>
      <c r="AI39" s="61"/>
      <c r="AJ39" s="61"/>
    </row>
    <row x14ac:dyDescent="0.25" r="40" customHeight="1" ht="15">
      <c r="A40" s="23">
        <v>214.12</v>
      </c>
      <c r="B40" s="6">
        <f>IF(ISNUMBER(A40),
IF(AND(A40=INT(A40), MOD(A40, 10) = 0), 0,
IF(AND(A40=INT(A40), LEN(A40)=2), 1,
IF(AND(A40=INT(A40), LEN(A40)=3), 2,
LEN(A40) - FIND(".", A40) + 2)
)
),
"")</f>
      </c>
      <c r="C40" s="7" t="s">
        <v>493</v>
      </c>
      <c r="D40" s="8">
        <f>REPT("   ", B40*2) &amp; C40</f>
      </c>
      <c r="E40" s="9"/>
      <c r="F40" s="9"/>
      <c r="G40" s="9"/>
      <c r="H40" s="9"/>
      <c r="I40" s="9"/>
      <c r="J40" s="14"/>
      <c r="K40" s="14"/>
      <c r="L40" s="14"/>
      <c r="M40" s="19"/>
      <c r="N40" s="14"/>
      <c r="O40" s="14"/>
      <c r="P40" s="14"/>
      <c r="Q40" s="14"/>
      <c r="R40" s="14"/>
      <c r="S40" s="19"/>
      <c r="T40" s="15"/>
      <c r="U40" s="15"/>
      <c r="V40" s="15"/>
      <c r="W40" s="4"/>
      <c r="X40" s="12"/>
      <c r="Y40" s="12"/>
      <c r="Z40" s="4"/>
      <c r="AA40" s="13"/>
      <c r="AB40" s="13"/>
      <c r="AC40" s="4"/>
      <c r="AD40" s="13"/>
      <c r="AE40" s="11"/>
      <c r="AF40" s="11"/>
      <c r="AG40" s="4"/>
      <c r="AH40" s="61"/>
      <c r="AI40" s="61"/>
      <c r="AJ40" s="61"/>
    </row>
    <row x14ac:dyDescent="0.25" r="41" customHeight="1" ht="27.75">
      <c r="A41" s="23">
        <v>214.121</v>
      </c>
      <c r="B41" s="6">
        <f>IF(ISNUMBER(A41),
IF(AND(A41=INT(A41), MOD(A41, 10) = 0), 0,
IF(AND(A41=INT(A41), LEN(A41)=2), 1,
IF(AND(A41=INT(A41), LEN(A41)=3), 2,
LEN(A41) - FIND(".", A41) + 2)
)
),
"")</f>
      </c>
      <c r="C41" s="7" t="s">
        <v>494</v>
      </c>
      <c r="D41" s="8">
        <f>REPT("   ", B41*2) &amp; C41</f>
      </c>
      <c r="E41" s="7" t="s">
        <v>35</v>
      </c>
      <c r="F41" s="9"/>
      <c r="G41" s="9"/>
      <c r="H41" s="9"/>
      <c r="I41" s="9"/>
      <c r="J41" s="14"/>
      <c r="K41" s="14">
        <f>1200 *1.53</f>
      </c>
      <c r="L41" s="15" t="s">
        <v>74</v>
      </c>
      <c r="M41" s="7" t="s">
        <v>495</v>
      </c>
      <c r="N41" s="14"/>
      <c r="O41" s="15" t="s">
        <v>76</v>
      </c>
      <c r="P41" s="14"/>
      <c r="Q41" s="14">
        <v>2024</v>
      </c>
      <c r="R41" s="15" t="s">
        <v>86</v>
      </c>
      <c r="S41" s="16" t="s">
        <v>69</v>
      </c>
      <c r="T41" s="16" t="s">
        <v>70</v>
      </c>
      <c r="U41" s="22" t="s">
        <v>71</v>
      </c>
      <c r="V41" s="15"/>
      <c r="W41" s="4" t="s">
        <v>280</v>
      </c>
      <c r="X41" s="12">
        <f>0.9*$J41</f>
      </c>
      <c r="Y41" s="12">
        <f>1.5*J41</f>
      </c>
      <c r="Z41" s="4" t="s">
        <v>45</v>
      </c>
      <c r="AA41" s="13">
        <f>0.9*K41</f>
      </c>
      <c r="AB41" s="13">
        <f>1.3*K41</f>
      </c>
      <c r="AC41" s="4" t="s">
        <v>45</v>
      </c>
      <c r="AD41" s="13">
        <v>0.1</v>
      </c>
      <c r="AE41" s="11">
        <v>1</v>
      </c>
      <c r="AF41" s="11">
        <v>0</v>
      </c>
      <c r="AG41" s="4" t="s">
        <v>46</v>
      </c>
      <c r="AH41" s="61"/>
      <c r="AI41" s="61"/>
      <c r="AJ41" s="61"/>
    </row>
    <row x14ac:dyDescent="0.25" r="42" customHeight="1" ht="27.75">
      <c r="A42" s="23">
        <v>214.122</v>
      </c>
      <c r="B42" s="6">
        <f>IF(ISNUMBER(A42),
IF(AND(A42=INT(A42), MOD(A42, 10) = 0), 0,
IF(AND(A42=INT(A42), LEN(A42)=2), 1,
IF(AND(A42=INT(A42), LEN(A42)=3), 2,
LEN(A42) - FIND(".", A42) + 2)
)
),
"")</f>
      </c>
      <c r="C42" s="7" t="s">
        <v>496</v>
      </c>
      <c r="D42" s="8">
        <f>REPT("   ", B42*2) &amp; C42</f>
      </c>
      <c r="E42" s="7" t="s">
        <v>35</v>
      </c>
      <c r="F42" s="9"/>
      <c r="G42" s="9"/>
      <c r="H42" s="9"/>
      <c r="I42" s="9"/>
      <c r="J42" s="14"/>
      <c r="K42" s="14">
        <f>943.9*1.53</f>
      </c>
      <c r="L42" s="15" t="s">
        <v>74</v>
      </c>
      <c r="M42" s="7" t="s">
        <v>497</v>
      </c>
      <c r="N42" s="14"/>
      <c r="O42" s="15" t="s">
        <v>76</v>
      </c>
      <c r="P42" s="14"/>
      <c r="Q42" s="14">
        <v>2024</v>
      </c>
      <c r="R42" s="15" t="s">
        <v>86</v>
      </c>
      <c r="S42" s="7"/>
      <c r="T42" s="7"/>
      <c r="U42" s="7"/>
      <c r="V42" s="15"/>
      <c r="W42" s="4" t="s">
        <v>280</v>
      </c>
      <c r="X42" s="12">
        <f>0.9*$J42</f>
      </c>
      <c r="Y42" s="12">
        <f>1.5*J42</f>
      </c>
      <c r="Z42" s="4" t="s">
        <v>45</v>
      </c>
      <c r="AA42" s="13">
        <f>0.9*K42</f>
      </c>
      <c r="AB42" s="13">
        <f>1.3*K42</f>
      </c>
      <c r="AC42" s="4" t="s">
        <v>45</v>
      </c>
      <c r="AD42" s="13">
        <v>0.1</v>
      </c>
      <c r="AE42" s="11">
        <v>1</v>
      </c>
      <c r="AF42" s="11">
        <v>0</v>
      </c>
      <c r="AG42" s="4" t="s">
        <v>46</v>
      </c>
      <c r="AH42" s="61"/>
      <c r="AI42" s="61"/>
      <c r="AJ42" s="61"/>
    </row>
    <row x14ac:dyDescent="0.25" r="43" customHeight="1" ht="42">
      <c r="A43" s="23">
        <v>214.123</v>
      </c>
      <c r="B43" s="6">
        <f>IF(ISNUMBER(A43),
IF(AND(A43=INT(A43), MOD(A43, 10) = 0), 0,
IF(AND(A43=INT(A43), LEN(A43)=2), 1,
IF(AND(A43=INT(A43), LEN(A43)=3), 2,
LEN(A43) - FIND(".", A43) + 2)
)
),
"")</f>
      </c>
      <c r="C43" s="7" t="s">
        <v>498</v>
      </c>
      <c r="D43" s="8">
        <f>REPT("   ", B43*2) &amp; C43</f>
      </c>
      <c r="E43" s="7" t="s">
        <v>35</v>
      </c>
      <c r="F43" s="9"/>
      <c r="G43" s="9"/>
      <c r="H43" s="9"/>
      <c r="I43" s="9"/>
      <c r="J43" s="14"/>
      <c r="K43" s="14">
        <f>721.21*1.53</f>
      </c>
      <c r="L43" s="15" t="s">
        <v>74</v>
      </c>
      <c r="M43" s="7" t="s">
        <v>499</v>
      </c>
      <c r="N43" s="14"/>
      <c r="O43" s="15" t="s">
        <v>76</v>
      </c>
      <c r="P43" s="14"/>
      <c r="Q43" s="14">
        <v>2024</v>
      </c>
      <c r="R43" s="15" t="s">
        <v>86</v>
      </c>
      <c r="S43" s="7"/>
      <c r="T43" s="7"/>
      <c r="U43" s="7"/>
      <c r="V43" s="15"/>
      <c r="W43" s="4" t="s">
        <v>280</v>
      </c>
      <c r="X43" s="12">
        <f>0.9*$J43</f>
      </c>
      <c r="Y43" s="12">
        <f>1.5*J43</f>
      </c>
      <c r="Z43" s="4" t="s">
        <v>45</v>
      </c>
      <c r="AA43" s="13">
        <f>0.9*K43</f>
      </c>
      <c r="AB43" s="13">
        <f>1.3*K43</f>
      </c>
      <c r="AC43" s="4" t="s">
        <v>45</v>
      </c>
      <c r="AD43" s="13">
        <v>0.1</v>
      </c>
      <c r="AE43" s="11">
        <v>1</v>
      </c>
      <c r="AF43" s="11">
        <v>0</v>
      </c>
      <c r="AG43" s="4" t="s">
        <v>46</v>
      </c>
      <c r="AH43" s="61"/>
      <c r="AI43" s="61"/>
      <c r="AJ43" s="61"/>
    </row>
    <row x14ac:dyDescent="0.25" r="44" customHeight="1" ht="28.5">
      <c r="A44" s="23">
        <v>214.7</v>
      </c>
      <c r="B44" s="6">
        <f>IF(ISNUMBER(A44),
IF(AND(A44=INT(A44), MOD(A44, 10) = 0), 0,
IF(AND(A44=INT(A44), LEN(A44)=2), 1,
IF(AND(A44=INT(A44), LEN(A44)=3), 2,
LEN(A44) - FIND(".", A44) + 2)
)
),
"")</f>
      </c>
      <c r="C44" s="7" t="s">
        <v>500</v>
      </c>
      <c r="D44" s="8">
        <f>REPT("   ", B44*2) &amp; C44</f>
      </c>
      <c r="E44" s="9"/>
      <c r="F44" s="9"/>
      <c r="G44" s="9"/>
      <c r="H44" s="9"/>
      <c r="I44" s="9"/>
      <c r="J44" s="14"/>
      <c r="K44" s="14"/>
      <c r="L44" s="15"/>
      <c r="M44" s="7"/>
      <c r="N44" s="14"/>
      <c r="O44" s="15"/>
      <c r="P44" s="14"/>
      <c r="Q44" s="14"/>
      <c r="R44" s="15"/>
      <c r="S44" s="7"/>
      <c r="T44" s="15"/>
      <c r="U44" s="15"/>
      <c r="V44" s="15"/>
      <c r="W44" s="4"/>
      <c r="X44" s="12"/>
      <c r="Y44" s="12"/>
      <c r="Z44" s="4"/>
      <c r="AA44" s="13"/>
      <c r="AB44" s="13"/>
      <c r="AC44" s="4"/>
      <c r="AD44" s="13"/>
      <c r="AE44" s="11"/>
      <c r="AF44" s="11"/>
      <c r="AG44" s="4"/>
      <c r="AH44" s="61"/>
      <c r="AI44" s="61"/>
      <c r="AJ44" s="61"/>
    </row>
    <row x14ac:dyDescent="0.25" r="45" customHeight="1" ht="15">
      <c r="A45" s="23">
        <v>214.71</v>
      </c>
      <c r="B45" s="6">
        <v>4</v>
      </c>
      <c r="C45" s="7" t="s">
        <v>501</v>
      </c>
      <c r="D45" s="8">
        <f>REPT("   ", B45*2) &amp; C45</f>
      </c>
      <c r="E45" s="9"/>
      <c r="F45" s="9"/>
      <c r="G45" s="9"/>
      <c r="H45" s="9"/>
      <c r="I45" s="9"/>
      <c r="J45" s="14"/>
      <c r="K45" s="14"/>
      <c r="L45" s="15"/>
      <c r="M45" s="7"/>
      <c r="N45" s="14"/>
      <c r="O45" s="15"/>
      <c r="P45" s="14"/>
      <c r="Q45" s="14"/>
      <c r="R45" s="15"/>
      <c r="S45" s="7"/>
      <c r="T45" s="15"/>
      <c r="U45" s="15"/>
      <c r="V45" s="15"/>
      <c r="W45" s="4"/>
      <c r="X45" s="12"/>
      <c r="Y45" s="12"/>
      <c r="Z45" s="4"/>
      <c r="AA45" s="13"/>
      <c r="AB45" s="13"/>
      <c r="AC45" s="4"/>
      <c r="AD45" s="13"/>
      <c r="AE45" s="11"/>
      <c r="AF45" s="11"/>
      <c r="AG45" s="4"/>
      <c r="AH45" s="61"/>
      <c r="AI45" s="61"/>
      <c r="AJ45" s="61"/>
    </row>
    <row x14ac:dyDescent="0.25" r="46" customHeight="1" ht="27.75">
      <c r="A46" s="23">
        <v>214.711</v>
      </c>
      <c r="B46" s="6">
        <f>IF(ISNUMBER(A46),
IF(AND(A46=INT(A46), MOD(A46, 10) = 0), 0,
IF(AND(A46=INT(A46), LEN(A46)=2), 1,
IF(AND(A46=INT(A46), LEN(A46)=3), 2,
LEN(A46) - FIND(".", A46) + 2)
)
),
"")</f>
      </c>
      <c r="C46" s="7" t="s">
        <v>502</v>
      </c>
      <c r="D46" s="8">
        <f>REPT("   ", B46*2) &amp; C46</f>
      </c>
      <c r="E46" s="7" t="s">
        <v>35</v>
      </c>
      <c r="F46" s="9"/>
      <c r="G46" s="9"/>
      <c r="H46" s="9"/>
      <c r="I46" s="9"/>
      <c r="J46" s="14"/>
      <c r="K46" s="14">
        <f>1200</f>
      </c>
      <c r="L46" s="15" t="s">
        <v>74</v>
      </c>
      <c r="M46" s="7" t="s">
        <v>503</v>
      </c>
      <c r="N46" s="14"/>
      <c r="O46" s="15" t="s">
        <v>76</v>
      </c>
      <c r="P46" s="14"/>
      <c r="Q46" s="14">
        <v>2024</v>
      </c>
      <c r="R46" s="15" t="s">
        <v>86</v>
      </c>
      <c r="S46" s="16" t="s">
        <v>462</v>
      </c>
      <c r="T46" s="16" t="s">
        <v>70</v>
      </c>
      <c r="U46" s="22" t="s">
        <v>71</v>
      </c>
      <c r="V46" s="15"/>
      <c r="W46" s="4" t="s">
        <v>280</v>
      </c>
      <c r="X46" s="12">
        <f>0.9*$J46</f>
      </c>
      <c r="Y46" s="12">
        <f>1.5*J46</f>
      </c>
      <c r="Z46" s="4" t="s">
        <v>45</v>
      </c>
      <c r="AA46" s="11">
        <f>0.9*K46</f>
      </c>
      <c r="AB46" s="11">
        <f>1.3*K46</f>
      </c>
      <c r="AC46" s="4" t="s">
        <v>45</v>
      </c>
      <c r="AD46" s="13">
        <v>0.1</v>
      </c>
      <c r="AE46" s="11">
        <v>1</v>
      </c>
      <c r="AF46" s="11">
        <v>0</v>
      </c>
      <c r="AG46" s="4" t="s">
        <v>46</v>
      </c>
      <c r="AH46" s="61"/>
      <c r="AI46" s="61"/>
      <c r="AJ46" s="61"/>
    </row>
    <row x14ac:dyDescent="0.25" r="47" customHeight="1" ht="27.75">
      <c r="A47" s="23">
        <v>214.712</v>
      </c>
      <c r="B47" s="6">
        <f>IF(ISNUMBER(A47),
IF(AND(A47=INT(A47), MOD(A47, 10) = 0), 0,
IF(AND(A47=INT(A47), LEN(A47)=2), 1,
IF(AND(A47=INT(A47), LEN(A47)=3), 2,
LEN(A47) - FIND(".", A47) + 2)
)
),
"")</f>
      </c>
      <c r="C47" s="7" t="s">
        <v>504</v>
      </c>
      <c r="D47" s="8">
        <f>REPT("   ", B47*2) &amp; C47</f>
      </c>
      <c r="E47" s="7" t="s">
        <v>35</v>
      </c>
      <c r="F47" s="9"/>
      <c r="G47" s="9"/>
      <c r="H47" s="9"/>
      <c r="I47" s="9"/>
      <c r="J47" s="14"/>
      <c r="K47" s="14">
        <f>943.9</f>
      </c>
      <c r="L47" s="15" t="s">
        <v>74</v>
      </c>
      <c r="M47" s="7" t="s">
        <v>505</v>
      </c>
      <c r="N47" s="14"/>
      <c r="O47" s="15" t="s">
        <v>76</v>
      </c>
      <c r="P47" s="14"/>
      <c r="Q47" s="14">
        <v>2024</v>
      </c>
      <c r="R47" s="15" t="s">
        <v>86</v>
      </c>
      <c r="S47" s="7"/>
      <c r="T47" s="7"/>
      <c r="U47" s="7"/>
      <c r="V47" s="15"/>
      <c r="W47" s="4" t="s">
        <v>280</v>
      </c>
      <c r="X47" s="12">
        <f>0.9*$J47</f>
      </c>
      <c r="Y47" s="12">
        <f>1.5*J47</f>
      </c>
      <c r="Z47" s="4" t="s">
        <v>45</v>
      </c>
      <c r="AA47" s="13">
        <f>0.9*K47</f>
      </c>
      <c r="AB47" s="13">
        <f>1.3*K47</f>
      </c>
      <c r="AC47" s="4" t="s">
        <v>45</v>
      </c>
      <c r="AD47" s="13">
        <v>0.1</v>
      </c>
      <c r="AE47" s="11">
        <v>1</v>
      </c>
      <c r="AF47" s="11">
        <v>0</v>
      </c>
      <c r="AG47" s="4" t="s">
        <v>46</v>
      </c>
      <c r="AH47" s="61"/>
      <c r="AI47" s="61"/>
      <c r="AJ47" s="61"/>
    </row>
    <row x14ac:dyDescent="0.25" r="48" customHeight="1" ht="42">
      <c r="A48" s="23">
        <v>214.713</v>
      </c>
      <c r="B48" s="6">
        <f>IF(ISNUMBER(A48),
IF(AND(A48=INT(A48), MOD(A48, 10) = 0), 0,
IF(AND(A48=INT(A48), LEN(A48)=2), 1,
IF(AND(A48=INT(A48), LEN(A48)=3), 2,
LEN(A48) - FIND(".", A48) + 2)
)
),
"")</f>
      </c>
      <c r="C48" s="7" t="s">
        <v>506</v>
      </c>
      <c r="D48" s="8">
        <f>REPT("   ", B48*2) &amp; C48</f>
      </c>
      <c r="E48" s="7" t="s">
        <v>35</v>
      </c>
      <c r="F48" s="9"/>
      <c r="G48" s="9"/>
      <c r="H48" s="9"/>
      <c r="I48" s="9"/>
      <c r="J48" s="14"/>
      <c r="K48" s="14">
        <f>721.21</f>
      </c>
      <c r="L48" s="15" t="s">
        <v>74</v>
      </c>
      <c r="M48" s="7" t="s">
        <v>507</v>
      </c>
      <c r="N48" s="14"/>
      <c r="O48" s="15" t="s">
        <v>76</v>
      </c>
      <c r="P48" s="14"/>
      <c r="Q48" s="14">
        <v>2024</v>
      </c>
      <c r="R48" s="15" t="s">
        <v>86</v>
      </c>
      <c r="S48" s="7"/>
      <c r="T48" s="7"/>
      <c r="U48" s="7"/>
      <c r="V48" s="15"/>
      <c r="W48" s="4" t="s">
        <v>280</v>
      </c>
      <c r="X48" s="12">
        <f>0.9*$J48</f>
      </c>
      <c r="Y48" s="12">
        <f>1.5*J48</f>
      </c>
      <c r="Z48" s="4" t="s">
        <v>45</v>
      </c>
      <c r="AA48" s="13">
        <f>0.9*K48</f>
      </c>
      <c r="AB48" s="13">
        <f>1.3*K48</f>
      </c>
      <c r="AC48" s="4" t="s">
        <v>45</v>
      </c>
      <c r="AD48" s="13">
        <v>0.1</v>
      </c>
      <c r="AE48" s="11">
        <v>1</v>
      </c>
      <c r="AF48" s="11">
        <v>0</v>
      </c>
      <c r="AG48" s="4" t="s">
        <v>46</v>
      </c>
      <c r="AH48" s="61"/>
      <c r="AI48" s="61"/>
      <c r="AJ48" s="61"/>
    </row>
    <row x14ac:dyDescent="0.25" r="49" customHeight="1" ht="103.5">
      <c r="A49" s="23">
        <v>214.72</v>
      </c>
      <c r="B49" s="6">
        <f>IF(ISNUMBER(A49),
IF(AND(A49=INT(A49), MOD(A49, 10) = 0), 0,
IF(AND(A49=INT(A49), LEN(A49)=2), 1,
IF(AND(A49=INT(A49), LEN(A49)=3), 2,
LEN(A49) - FIND(".", A49) + 2)
)
),
"")</f>
      </c>
      <c r="C49" s="7" t="s">
        <v>508</v>
      </c>
      <c r="D49" s="8">
        <f>REPT("   ", B49*2) &amp; C49</f>
      </c>
      <c r="E49" s="7" t="s">
        <v>35</v>
      </c>
      <c r="F49" s="9"/>
      <c r="G49" s="9"/>
      <c r="H49" s="9"/>
      <c r="I49" s="9"/>
      <c r="J49" s="14"/>
      <c r="K49" s="14">
        <f>MARVEL_Cost!C11/N49</f>
      </c>
      <c r="L49" s="15" t="s">
        <v>160</v>
      </c>
      <c r="M49" s="7" t="s">
        <v>458</v>
      </c>
      <c r="N49" s="23">
        <f>'Design Variables'!B3/1000</f>
      </c>
      <c r="O49" s="15" t="s">
        <v>155</v>
      </c>
      <c r="P49" s="23">
        <v>0.7</v>
      </c>
      <c r="Q49" s="14">
        <v>2024</v>
      </c>
      <c r="R49" s="15" t="s">
        <v>253</v>
      </c>
      <c r="S49" s="7" t="s">
        <v>509</v>
      </c>
      <c r="T49" s="7" t="s">
        <v>510</v>
      </c>
      <c r="U49" s="109" t="s">
        <v>511</v>
      </c>
      <c r="V49" s="15"/>
      <c r="W49" s="4" t="s">
        <v>287</v>
      </c>
      <c r="X49" s="12">
        <f>0.9*$J49</f>
      </c>
      <c r="Y49" s="12">
        <f>1.5*J49</f>
      </c>
      <c r="Z49" s="4" t="s">
        <v>45</v>
      </c>
      <c r="AA49" s="13">
        <f>0.9*K49</f>
      </c>
      <c r="AB49" s="13">
        <f>1.3*K49</f>
      </c>
      <c r="AC49" s="4" t="s">
        <v>45</v>
      </c>
      <c r="AD49" s="13">
        <v>0.1</v>
      </c>
      <c r="AE49" s="11">
        <v>1</v>
      </c>
      <c r="AF49" s="11">
        <v>0</v>
      </c>
      <c r="AG49" s="4" t="s">
        <v>46</v>
      </c>
      <c r="AH49" s="61"/>
      <c r="AI49" s="61"/>
      <c r="AJ49" s="61"/>
    </row>
    <row x14ac:dyDescent="0.25" r="50" customHeight="1" ht="12.75">
      <c r="A50" s="23">
        <v>214.8</v>
      </c>
      <c r="B50" s="6">
        <f>IF(ISNUMBER(A50),
IF(AND(A50=INT(A50), MOD(A50, 10) = 0), 0,
IF(AND(A50=INT(A50), LEN(A50)=2), 1,
IF(AND(A50=INT(A50), LEN(A50)=3), 2,
LEN(A50) - FIND(".", A50) + 2)
)
),
"")</f>
      </c>
      <c r="C50" s="7" t="s">
        <v>512</v>
      </c>
      <c r="D50" s="8">
        <f>REPT("   ", B50*2) &amp; C50</f>
      </c>
      <c r="E50" s="9"/>
      <c r="F50" s="9"/>
      <c r="G50" s="9"/>
      <c r="H50" s="9"/>
      <c r="I50" s="9"/>
      <c r="J50" s="14"/>
      <c r="K50" s="14"/>
      <c r="L50" s="15"/>
      <c r="M50" s="7"/>
      <c r="N50" s="20"/>
      <c r="O50" s="15"/>
      <c r="P50" s="20"/>
      <c r="Q50" s="14"/>
      <c r="R50" s="15"/>
      <c r="S50" s="7"/>
      <c r="T50" s="7"/>
      <c r="U50" s="109"/>
      <c r="V50" s="15"/>
      <c r="W50" s="4"/>
      <c r="X50" s="12"/>
      <c r="Y50" s="12"/>
      <c r="Z50" s="4"/>
      <c r="AA50" s="13"/>
      <c r="AB50" s="13"/>
      <c r="AC50" s="4"/>
      <c r="AD50" s="13"/>
      <c r="AE50" s="11"/>
      <c r="AF50" s="11"/>
      <c r="AG50" s="4"/>
      <c r="AH50" s="61"/>
      <c r="AI50" s="61"/>
      <c r="AJ50" s="61"/>
    </row>
    <row x14ac:dyDescent="0.25" r="51" customHeight="1" ht="15">
      <c r="A51" s="23">
        <v>214.81</v>
      </c>
      <c r="B51" s="6">
        <f>IF(ISNUMBER(A51),
IF(AND(A51=INT(A51), MOD(A51, 10) = 0), 0,
IF(AND(A51=INT(A51), LEN(A51)=2), 1,
IF(AND(A51=INT(A51), LEN(A51)=3), 2,
LEN(A51) - FIND(".", A51) + 2)
)
),
"")</f>
      </c>
      <c r="C51" s="7" t="s">
        <v>513</v>
      </c>
      <c r="D51" s="8">
        <f>REPT("   ", B51*2) &amp; C51</f>
      </c>
      <c r="E51" s="9"/>
      <c r="F51" s="9"/>
      <c r="G51" s="7"/>
      <c r="H51" s="7"/>
      <c r="I51" s="9"/>
      <c r="J51" s="14"/>
      <c r="K51" s="14"/>
      <c r="L51" s="15"/>
      <c r="M51" s="7"/>
      <c r="N51" s="20"/>
      <c r="O51" s="15"/>
      <c r="P51" s="20"/>
      <c r="Q51" s="14"/>
      <c r="R51" s="15"/>
      <c r="S51" s="7"/>
      <c r="T51" s="7"/>
      <c r="U51" s="109"/>
      <c r="V51" s="15"/>
      <c r="W51" s="4"/>
      <c r="X51" s="12"/>
      <c r="Y51" s="12"/>
      <c r="Z51" s="4"/>
      <c r="AA51" s="13"/>
      <c r="AB51" s="13"/>
      <c r="AC51" s="4"/>
      <c r="AD51" s="13"/>
      <c r="AE51" s="11"/>
      <c r="AF51" s="11"/>
      <c r="AG51" s="4"/>
      <c r="AH51" s="61"/>
      <c r="AI51" s="61"/>
      <c r="AJ51" s="61"/>
    </row>
    <row x14ac:dyDescent="0.25" r="52" customHeight="1" ht="42.75">
      <c r="A52" s="23">
        <v>214.811</v>
      </c>
      <c r="B52" s="6">
        <f>IF(ISNUMBER(A52),
IF(AND(A52=INT(A52), MOD(A52, 10) = 0), 0,
IF(AND(A52=INT(A52), LEN(A52)=2), 1,
IF(AND(A52=INT(A52), LEN(A52)=3), 2,
LEN(A52) - FIND(".", A52) + 2)
)
),
"")</f>
      </c>
      <c r="C52" s="7" t="s">
        <v>514</v>
      </c>
      <c r="D52" s="8">
        <f>REPT("   ", B52*2) &amp; C52</f>
      </c>
      <c r="E52" s="7" t="s">
        <v>35</v>
      </c>
      <c r="F52" s="9"/>
      <c r="G52" s="7"/>
      <c r="H52" s="7"/>
      <c r="I52" s="9"/>
      <c r="J52" s="14"/>
      <c r="K52" s="14">
        <f>1200</f>
      </c>
      <c r="L52" s="15" t="s">
        <v>74</v>
      </c>
      <c r="M52" s="7" t="s">
        <v>515</v>
      </c>
      <c r="N52" s="20"/>
      <c r="O52" s="15" t="s">
        <v>76</v>
      </c>
      <c r="P52" s="14"/>
      <c r="Q52" s="14">
        <v>2024</v>
      </c>
      <c r="R52" s="15" t="s">
        <v>86</v>
      </c>
      <c r="S52" s="16" t="s">
        <v>462</v>
      </c>
      <c r="T52" s="16" t="s">
        <v>70</v>
      </c>
      <c r="U52" s="22" t="s">
        <v>71</v>
      </c>
      <c r="V52" s="110" t="s">
        <v>516</v>
      </c>
      <c r="W52" s="4" t="s">
        <v>280</v>
      </c>
      <c r="X52" s="12">
        <f>0.9*$J52</f>
      </c>
      <c r="Y52" s="12">
        <f>1.5*J52</f>
      </c>
      <c r="Z52" s="4" t="s">
        <v>45</v>
      </c>
      <c r="AA52" s="11">
        <f>0.9*K52</f>
      </c>
      <c r="AB52" s="11">
        <f>1.3*K52</f>
      </c>
      <c r="AC52" s="4" t="s">
        <v>45</v>
      </c>
      <c r="AD52" s="13">
        <v>0.1</v>
      </c>
      <c r="AE52" s="11">
        <v>1</v>
      </c>
      <c r="AF52" s="11">
        <v>0</v>
      </c>
      <c r="AG52" s="4" t="s">
        <v>46</v>
      </c>
      <c r="AH52" s="61"/>
      <c r="AI52" s="61"/>
      <c r="AJ52" s="61"/>
    </row>
    <row x14ac:dyDescent="0.25" r="53" customHeight="1" ht="42.75">
      <c r="A53" s="23">
        <v>214.812</v>
      </c>
      <c r="B53" s="6">
        <f>IF(ISNUMBER(A53),
IF(AND(A53=INT(A53), MOD(A53, 10) = 0), 0,
IF(AND(A53=INT(A53), LEN(A53)=2), 1,
IF(AND(A53=INT(A53), LEN(A53)=3), 2,
LEN(A53) - FIND(".", A53) + 2)
)
),
"")</f>
      </c>
      <c r="C53" s="7" t="s">
        <v>517</v>
      </c>
      <c r="D53" s="8">
        <f>REPT("   ", B53*2) &amp; C53</f>
      </c>
      <c r="E53" s="7" t="s">
        <v>35</v>
      </c>
      <c r="F53" s="9"/>
      <c r="G53" s="7"/>
      <c r="H53" s="7"/>
      <c r="I53" s="9"/>
      <c r="J53" s="14"/>
      <c r="K53" s="14">
        <f>943.9</f>
      </c>
      <c r="L53" s="15" t="s">
        <v>74</v>
      </c>
      <c r="M53" s="7" t="s">
        <v>518</v>
      </c>
      <c r="N53" s="20"/>
      <c r="O53" s="15" t="s">
        <v>76</v>
      </c>
      <c r="P53" s="14"/>
      <c r="Q53" s="14">
        <v>2024</v>
      </c>
      <c r="R53" s="15" t="s">
        <v>86</v>
      </c>
      <c r="S53" s="7"/>
      <c r="T53" s="7"/>
      <c r="U53" s="7"/>
      <c r="V53" s="111"/>
      <c r="W53" s="4" t="s">
        <v>280</v>
      </c>
      <c r="X53" s="12">
        <f>0.9*$J53</f>
      </c>
      <c r="Y53" s="12">
        <f>1.5*J53</f>
      </c>
      <c r="Z53" s="4" t="s">
        <v>45</v>
      </c>
      <c r="AA53" s="13">
        <f>0.9*K53</f>
      </c>
      <c r="AB53" s="13">
        <f>1.3*K53</f>
      </c>
      <c r="AC53" s="4" t="s">
        <v>45</v>
      </c>
      <c r="AD53" s="13">
        <v>0.1</v>
      </c>
      <c r="AE53" s="11">
        <v>1</v>
      </c>
      <c r="AF53" s="11">
        <v>0</v>
      </c>
      <c r="AG53" s="4" t="s">
        <v>46</v>
      </c>
      <c r="AH53" s="61"/>
      <c r="AI53" s="61"/>
      <c r="AJ53" s="61"/>
    </row>
    <row x14ac:dyDescent="0.25" r="54" customHeight="1" ht="42.75">
      <c r="A54" s="23">
        <v>214.813</v>
      </c>
      <c r="B54" s="6">
        <f>IF(ISNUMBER(A54),
IF(AND(A54=INT(A54), MOD(A54, 10) = 0), 0,
IF(AND(A54=INT(A54), LEN(A54)=2), 1,
IF(AND(A54=INT(A54), LEN(A54)=3), 2,
LEN(A54) - FIND(".", A54) + 2)
)
),
"")</f>
      </c>
      <c r="C54" s="7" t="s">
        <v>519</v>
      </c>
      <c r="D54" s="8">
        <f>REPT("   ", B54*2) &amp; C54</f>
      </c>
      <c r="E54" s="7" t="s">
        <v>35</v>
      </c>
      <c r="F54" s="9"/>
      <c r="G54" s="7"/>
      <c r="H54" s="7"/>
      <c r="I54" s="9"/>
      <c r="J54" s="14"/>
      <c r="K54" s="14">
        <f>721.21</f>
      </c>
      <c r="L54" s="15" t="s">
        <v>74</v>
      </c>
      <c r="M54" s="7" t="s">
        <v>520</v>
      </c>
      <c r="N54" s="20"/>
      <c r="O54" s="15" t="s">
        <v>76</v>
      </c>
      <c r="P54" s="14"/>
      <c r="Q54" s="14">
        <v>2024</v>
      </c>
      <c r="R54" s="15" t="s">
        <v>86</v>
      </c>
      <c r="S54" s="7"/>
      <c r="T54" s="7"/>
      <c r="U54" s="7"/>
      <c r="V54" s="111"/>
      <c r="W54" s="4" t="s">
        <v>280</v>
      </c>
      <c r="X54" s="12">
        <f>0.9*$J54</f>
      </c>
      <c r="Y54" s="12">
        <f>1.5*J54</f>
      </c>
      <c r="Z54" s="4" t="s">
        <v>45</v>
      </c>
      <c r="AA54" s="13">
        <f>0.9*K54</f>
      </c>
      <c r="AB54" s="13">
        <f>1.3*K54</f>
      </c>
      <c r="AC54" s="4" t="s">
        <v>45</v>
      </c>
      <c r="AD54" s="13">
        <v>0.1</v>
      </c>
      <c r="AE54" s="11">
        <v>1</v>
      </c>
      <c r="AF54" s="11">
        <v>0</v>
      </c>
      <c r="AG54" s="4" t="s">
        <v>46</v>
      </c>
      <c r="AH54" s="61"/>
      <c r="AI54" s="61"/>
      <c r="AJ54" s="61"/>
    </row>
    <row x14ac:dyDescent="0.25" r="55" customHeight="1" ht="15">
      <c r="A55" s="20">
        <v>215</v>
      </c>
      <c r="B55" s="6">
        <f>IF(ISNUMBER(A55),
IF(AND(A55=INT(A55), MOD(A55, 10) = 0), 0,
IF(AND(A55=INT(A55), LEN(A55)=2), 1,
IF(AND(A55=INT(A55), LEN(A55)=3), 2,
LEN(A55) - FIND(".", A55) + 2)
)
),
"")</f>
      </c>
      <c r="C55" s="7" t="s">
        <v>521</v>
      </c>
      <c r="D55" s="8">
        <f>REPT("   ", B55*2) &amp; C55</f>
      </c>
      <c r="E55" s="9"/>
      <c r="F55" s="9"/>
      <c r="G55" s="9"/>
      <c r="H55" s="9"/>
      <c r="I55" s="9"/>
      <c r="J55" s="14"/>
      <c r="K55" s="14"/>
      <c r="L55" s="15"/>
      <c r="M55" s="7"/>
      <c r="N55" s="20"/>
      <c r="O55" s="15"/>
      <c r="P55" s="20"/>
      <c r="Q55" s="14"/>
      <c r="R55" s="15"/>
      <c r="S55" s="7"/>
      <c r="T55" s="7"/>
      <c r="U55" s="109"/>
      <c r="V55" s="15"/>
      <c r="W55" s="4"/>
      <c r="X55" s="12"/>
      <c r="Y55" s="12"/>
      <c r="Z55" s="4"/>
      <c r="AA55" s="13"/>
      <c r="AB55" s="13"/>
      <c r="AC55" s="4"/>
      <c r="AD55" s="13"/>
      <c r="AE55" s="11"/>
      <c r="AF55" s="11"/>
      <c r="AG55" s="4"/>
      <c r="AH55" s="61"/>
      <c r="AI55" s="61"/>
      <c r="AJ55" s="61"/>
    </row>
    <row x14ac:dyDescent="0.25" r="56" customHeight="1" ht="15">
      <c r="A56" s="23">
        <v>215.1</v>
      </c>
      <c r="B56" s="6">
        <f>IF(ISNUMBER(A56),
IF(AND(A56=INT(A56), MOD(A56, 10) = 0), 0,
IF(AND(A56=INT(A56), LEN(A56)=2), 1,
IF(AND(A56=INT(A56), LEN(A56)=3), 2,
LEN(A56) - FIND(".", A56) + 2)
)
),
"")</f>
      </c>
      <c r="C56" s="7" t="s">
        <v>522</v>
      </c>
      <c r="D56" s="8">
        <f>REPT("   ", B56*2) &amp; C56</f>
      </c>
      <c r="E56" s="9"/>
      <c r="F56" s="9"/>
      <c r="G56" s="9"/>
      <c r="H56" s="9"/>
      <c r="I56" s="9"/>
      <c r="J56" s="14"/>
      <c r="K56" s="14"/>
      <c r="L56" s="15"/>
      <c r="M56" s="7"/>
      <c r="N56" s="20"/>
      <c r="O56" s="15"/>
      <c r="P56" s="20"/>
      <c r="Q56" s="14"/>
      <c r="R56" s="15"/>
      <c r="S56" s="7"/>
      <c r="T56" s="7"/>
      <c r="U56" s="109"/>
      <c r="V56" s="15"/>
      <c r="W56" s="4"/>
      <c r="X56" s="12"/>
      <c r="Y56" s="12"/>
      <c r="Z56" s="4"/>
      <c r="AA56" s="13"/>
      <c r="AB56" s="13"/>
      <c r="AC56" s="4"/>
      <c r="AD56" s="13"/>
      <c r="AE56" s="11"/>
      <c r="AF56" s="11"/>
      <c r="AG56" s="4"/>
      <c r="AH56" s="61"/>
      <c r="AI56" s="61"/>
      <c r="AJ56" s="61"/>
    </row>
    <row x14ac:dyDescent="0.25" r="57" customHeight="1" ht="28.5">
      <c r="A57" s="23">
        <v>215.11</v>
      </c>
      <c r="B57" s="6">
        <f>IF(ISNUMBER(A57),
IF(AND(A57=INT(A57), MOD(A57, 10) = 0), 0,
IF(AND(A57=INT(A57), LEN(A57)=2), 1,
IF(AND(A57=INT(A57), LEN(A57)=3), 2,
LEN(A57) - FIND(".", A57) + 2)
)
),
"")</f>
      </c>
      <c r="C57" s="7" t="s">
        <v>523</v>
      </c>
      <c r="D57" s="8">
        <f>REPT("   ", B57*2) &amp; C57</f>
      </c>
      <c r="E57" s="7" t="s">
        <v>35</v>
      </c>
      <c r="F57" s="9"/>
      <c r="G57" s="9"/>
      <c r="H57" s="9"/>
      <c r="I57" s="9"/>
      <c r="J57" s="14"/>
      <c r="K57" s="14">
        <f>1200</f>
      </c>
      <c r="L57" s="15" t="s">
        <v>74</v>
      </c>
      <c r="M57" s="7" t="s">
        <v>524</v>
      </c>
      <c r="N57" s="20"/>
      <c r="O57" s="15" t="s">
        <v>76</v>
      </c>
      <c r="P57" s="20"/>
      <c r="Q57" s="14">
        <v>2024</v>
      </c>
      <c r="R57" s="15" t="s">
        <v>86</v>
      </c>
      <c r="S57" s="16" t="s">
        <v>462</v>
      </c>
      <c r="T57" s="16" t="s">
        <v>70</v>
      </c>
      <c r="U57" s="22" t="s">
        <v>71</v>
      </c>
      <c r="V57" s="15"/>
      <c r="W57" s="4" t="s">
        <v>280</v>
      </c>
      <c r="X57" s="12">
        <f>0.9*$J57</f>
      </c>
      <c r="Y57" s="12">
        <f>1.5*J57</f>
      </c>
      <c r="Z57" s="4" t="s">
        <v>45</v>
      </c>
      <c r="AA57" s="11">
        <f>0.9*K57</f>
      </c>
      <c r="AB57" s="11">
        <f>1.3*K57</f>
      </c>
      <c r="AC57" s="4" t="s">
        <v>45</v>
      </c>
      <c r="AD57" s="13">
        <v>0.1</v>
      </c>
      <c r="AE57" s="11">
        <v>1</v>
      </c>
      <c r="AF57" s="11">
        <v>0</v>
      </c>
      <c r="AG57" s="4" t="s">
        <v>46</v>
      </c>
      <c r="AH57" s="61"/>
      <c r="AI57" s="61"/>
      <c r="AJ57" s="61"/>
    </row>
    <row x14ac:dyDescent="0.25" r="58" customHeight="1" ht="28.5">
      <c r="A58" s="23">
        <v>215.12</v>
      </c>
      <c r="B58" s="6">
        <f>IF(ISNUMBER(A58),
IF(AND(A58=INT(A58), MOD(A58, 10) = 0), 0,
IF(AND(A58=INT(A58), LEN(A58)=2), 1,
IF(AND(A58=INT(A58), LEN(A58)=3), 2,
LEN(A58) - FIND(".", A58) + 2)
)
),
"")</f>
      </c>
      <c r="C58" s="7" t="s">
        <v>525</v>
      </c>
      <c r="D58" s="8">
        <f>REPT("   ", B58*2) &amp; C58</f>
      </c>
      <c r="E58" s="7" t="s">
        <v>35</v>
      </c>
      <c r="F58" s="9"/>
      <c r="G58" s="9"/>
      <c r="H58" s="9"/>
      <c r="I58" s="9"/>
      <c r="J58" s="14"/>
      <c r="K58" s="14">
        <f>943.9</f>
      </c>
      <c r="L58" s="15" t="s">
        <v>74</v>
      </c>
      <c r="M58" s="7" t="s">
        <v>526</v>
      </c>
      <c r="N58" s="20"/>
      <c r="O58" s="15" t="s">
        <v>76</v>
      </c>
      <c r="P58" s="20"/>
      <c r="Q58" s="14">
        <v>2024</v>
      </c>
      <c r="R58" s="15" t="s">
        <v>86</v>
      </c>
      <c r="S58" s="7"/>
      <c r="T58" s="7"/>
      <c r="U58" s="7"/>
      <c r="V58" s="15"/>
      <c r="W58" s="4" t="s">
        <v>280</v>
      </c>
      <c r="X58" s="12">
        <f>0.9*$J58</f>
      </c>
      <c r="Y58" s="12">
        <f>1.5*J58</f>
      </c>
      <c r="Z58" s="4" t="s">
        <v>45</v>
      </c>
      <c r="AA58" s="13">
        <f>0.9*K58</f>
      </c>
      <c r="AB58" s="13">
        <f>1.3*K58</f>
      </c>
      <c r="AC58" s="4" t="s">
        <v>45</v>
      </c>
      <c r="AD58" s="13">
        <v>0.1</v>
      </c>
      <c r="AE58" s="11">
        <v>1</v>
      </c>
      <c r="AF58" s="11">
        <v>0</v>
      </c>
      <c r="AG58" s="4" t="s">
        <v>46</v>
      </c>
      <c r="AH58" s="61"/>
      <c r="AI58" s="61"/>
      <c r="AJ58" s="61"/>
    </row>
    <row x14ac:dyDescent="0.25" r="59" customHeight="1" ht="42.75">
      <c r="A59" s="23">
        <v>215.13</v>
      </c>
      <c r="B59" s="6">
        <f>IF(ISNUMBER(A59),
IF(AND(A59=INT(A59), MOD(A59, 10) = 0), 0,
IF(AND(A59=INT(A59), LEN(A59)=2), 1,
IF(AND(A59=INT(A59), LEN(A59)=3), 2,
LEN(A59) - FIND(".", A59) + 2)
)
),
"")</f>
      </c>
      <c r="C59" s="7" t="s">
        <v>527</v>
      </c>
      <c r="D59" s="8">
        <f>REPT("   ", B59*2) &amp; C59</f>
      </c>
      <c r="E59" s="7" t="s">
        <v>35</v>
      </c>
      <c r="F59" s="9"/>
      <c r="G59" s="9"/>
      <c r="H59" s="9"/>
      <c r="I59" s="9"/>
      <c r="J59" s="14"/>
      <c r="K59" s="14">
        <f>721.21</f>
      </c>
      <c r="L59" s="15" t="s">
        <v>74</v>
      </c>
      <c r="M59" s="7" t="s">
        <v>528</v>
      </c>
      <c r="N59" s="20"/>
      <c r="O59" s="15" t="s">
        <v>76</v>
      </c>
      <c r="P59" s="20"/>
      <c r="Q59" s="14">
        <v>2024</v>
      </c>
      <c r="R59" s="15" t="s">
        <v>86</v>
      </c>
      <c r="S59" s="7"/>
      <c r="T59" s="7"/>
      <c r="U59" s="7"/>
      <c r="V59" s="15"/>
      <c r="W59" s="4" t="s">
        <v>280</v>
      </c>
      <c r="X59" s="12">
        <f>0.9*$J59</f>
      </c>
      <c r="Y59" s="12">
        <f>1.5*J59</f>
      </c>
      <c r="Z59" s="4" t="s">
        <v>45</v>
      </c>
      <c r="AA59" s="13">
        <f>0.9*K59</f>
      </c>
      <c r="AB59" s="13">
        <f>1.3*K59</f>
      </c>
      <c r="AC59" s="4" t="s">
        <v>45</v>
      </c>
      <c r="AD59" s="13">
        <v>0.1</v>
      </c>
      <c r="AE59" s="11">
        <v>1</v>
      </c>
      <c r="AF59" s="11">
        <v>0</v>
      </c>
      <c r="AG59" s="4" t="s">
        <v>46</v>
      </c>
      <c r="AH59" s="61"/>
      <c r="AI59" s="61"/>
      <c r="AJ59" s="61"/>
    </row>
    <row x14ac:dyDescent="0.25" r="60" customHeight="1" ht="15">
      <c r="A60" s="23">
        <v>215.4</v>
      </c>
      <c r="B60" s="6">
        <f>IF(ISNUMBER(A60),
IF(AND(A60=INT(A60), MOD(A60, 10) = 0), 0,
IF(AND(A60=INT(A60), LEN(A60)=2), 1,
IF(AND(A60=INT(A60), LEN(A60)=3), 2,
LEN(A60) - FIND(".", A60) + 2)
)
),
"")</f>
      </c>
      <c r="C60" s="7" t="s">
        <v>529</v>
      </c>
      <c r="D60" s="8">
        <f>REPT("   ", B60*2) &amp; C60</f>
      </c>
      <c r="E60" s="9"/>
      <c r="F60" s="9"/>
      <c r="G60" s="9"/>
      <c r="H60" s="9"/>
      <c r="I60" s="9"/>
      <c r="J60" s="14"/>
      <c r="K60" s="14"/>
      <c r="L60" s="15"/>
      <c r="M60" s="7"/>
      <c r="N60" s="20"/>
      <c r="O60" s="15"/>
      <c r="P60" s="20"/>
      <c r="Q60" s="14"/>
      <c r="R60" s="15"/>
      <c r="S60" s="7"/>
      <c r="T60" s="7"/>
      <c r="U60" s="109"/>
      <c r="V60" s="15"/>
      <c r="W60" s="4"/>
      <c r="X60" s="12"/>
      <c r="Y60" s="12"/>
      <c r="Z60" s="4"/>
      <c r="AA60" s="13"/>
      <c r="AB60" s="13"/>
      <c r="AC60" s="4"/>
      <c r="AD60" s="13"/>
      <c r="AE60" s="11"/>
      <c r="AF60" s="11"/>
      <c r="AG60" s="4"/>
      <c r="AH60" s="61"/>
      <c r="AI60" s="61"/>
      <c r="AJ60" s="61"/>
    </row>
    <row x14ac:dyDescent="0.25" r="61" customHeight="1" ht="28.5">
      <c r="A61" s="23">
        <v>215.41</v>
      </c>
      <c r="B61" s="6">
        <f>IF(ISNUMBER(A61),
IF(AND(A61=INT(A61), MOD(A61, 10) = 0), 0,
IF(AND(A61=INT(A61), LEN(A61)=2), 1,
IF(AND(A61=INT(A61), LEN(A61)=3), 2,
LEN(A61) - FIND(".", A61) + 2)
)
),
"")</f>
      </c>
      <c r="C61" s="7" t="s">
        <v>530</v>
      </c>
      <c r="D61" s="8">
        <f>REPT("   ", B61*2) &amp; C61</f>
      </c>
      <c r="E61" s="7" t="s">
        <v>35</v>
      </c>
      <c r="F61" s="9"/>
      <c r="G61" s="9"/>
      <c r="H61" s="9"/>
      <c r="I61" s="9"/>
      <c r="J61" s="14"/>
      <c r="K61" s="14">
        <f>1200 *1.53</f>
      </c>
      <c r="L61" s="15" t="s">
        <v>74</v>
      </c>
      <c r="M61" s="7" t="s">
        <v>531</v>
      </c>
      <c r="N61" s="20"/>
      <c r="O61" s="15" t="s">
        <v>76</v>
      </c>
      <c r="P61" s="20"/>
      <c r="Q61" s="14">
        <v>2024</v>
      </c>
      <c r="R61" s="15" t="s">
        <v>86</v>
      </c>
      <c r="S61" s="16" t="s">
        <v>69</v>
      </c>
      <c r="T61" s="16" t="s">
        <v>70</v>
      </c>
      <c r="U61" s="22" t="s">
        <v>71</v>
      </c>
      <c r="V61" s="15"/>
      <c r="W61" s="4" t="s">
        <v>280</v>
      </c>
      <c r="X61" s="12">
        <f>0.9*$J61</f>
      </c>
      <c r="Y61" s="12">
        <f>1.5*J61</f>
      </c>
      <c r="Z61" s="4" t="s">
        <v>45</v>
      </c>
      <c r="AA61" s="13">
        <f>0.9*K61</f>
      </c>
      <c r="AB61" s="13">
        <f>1.3*K61</f>
      </c>
      <c r="AC61" s="4" t="s">
        <v>45</v>
      </c>
      <c r="AD61" s="13">
        <v>0.1</v>
      </c>
      <c r="AE61" s="11">
        <v>1</v>
      </c>
      <c r="AF61" s="11">
        <v>0</v>
      </c>
      <c r="AG61" s="4" t="s">
        <v>46</v>
      </c>
      <c r="AH61" s="61"/>
      <c r="AI61" s="61"/>
      <c r="AJ61" s="61"/>
    </row>
    <row x14ac:dyDescent="0.25" r="62" customHeight="1" ht="28.5">
      <c r="A62" s="23">
        <v>215.42</v>
      </c>
      <c r="B62" s="6">
        <f>IF(ISNUMBER(A62),
IF(AND(A62=INT(A62), MOD(A62, 10) = 0), 0,
IF(AND(A62=INT(A62), LEN(A62)=2), 1,
IF(AND(A62=INT(A62), LEN(A62)=3), 2,
LEN(A62) - FIND(".", A62) + 2)
)
),
"")</f>
      </c>
      <c r="C62" s="7" t="s">
        <v>532</v>
      </c>
      <c r="D62" s="8">
        <f>REPT("   ", B62*2) &amp; C62</f>
      </c>
      <c r="E62" s="7" t="s">
        <v>35</v>
      </c>
      <c r="F62" s="9"/>
      <c r="G62" s="9"/>
      <c r="H62" s="9"/>
      <c r="I62" s="9"/>
      <c r="J62" s="14"/>
      <c r="K62" s="14">
        <f>943.9*1.53</f>
      </c>
      <c r="L62" s="15" t="s">
        <v>74</v>
      </c>
      <c r="M62" s="7" t="s">
        <v>533</v>
      </c>
      <c r="N62" s="20"/>
      <c r="O62" s="15" t="s">
        <v>76</v>
      </c>
      <c r="P62" s="20"/>
      <c r="Q62" s="14">
        <v>2024</v>
      </c>
      <c r="R62" s="15" t="s">
        <v>86</v>
      </c>
      <c r="S62" s="7"/>
      <c r="T62" s="7"/>
      <c r="U62" s="7"/>
      <c r="V62" s="15"/>
      <c r="W62" s="4" t="s">
        <v>280</v>
      </c>
      <c r="X62" s="12">
        <f>0.9*$J62</f>
      </c>
      <c r="Y62" s="12">
        <f>1.5*J62</f>
      </c>
      <c r="Z62" s="4" t="s">
        <v>45</v>
      </c>
      <c r="AA62" s="13">
        <f>0.9*K62</f>
      </c>
      <c r="AB62" s="13">
        <f>1.3*K62</f>
      </c>
      <c r="AC62" s="4" t="s">
        <v>45</v>
      </c>
      <c r="AD62" s="13">
        <v>0.1</v>
      </c>
      <c r="AE62" s="11">
        <v>1</v>
      </c>
      <c r="AF62" s="11">
        <v>0</v>
      </c>
      <c r="AG62" s="4" t="s">
        <v>46</v>
      </c>
      <c r="AH62" s="61"/>
      <c r="AI62" s="61"/>
      <c r="AJ62" s="61"/>
    </row>
    <row x14ac:dyDescent="0.25" r="63" customHeight="1" ht="42.75">
      <c r="A63" s="23">
        <v>215.43</v>
      </c>
      <c r="B63" s="6">
        <f>IF(ISNUMBER(A63),
IF(AND(A63=INT(A63), MOD(A63, 10) = 0), 0,
IF(AND(A63=INT(A63), LEN(A63)=2), 1,
IF(AND(A63=INT(A63), LEN(A63)=3), 2,
LEN(A63) - FIND(".", A63) + 2)
)
),
"")</f>
      </c>
      <c r="C63" s="7" t="s">
        <v>534</v>
      </c>
      <c r="D63" s="8">
        <f>REPT("   ", B63*2) &amp; C63</f>
      </c>
      <c r="E63" s="7" t="s">
        <v>35</v>
      </c>
      <c r="F63" s="9"/>
      <c r="G63" s="9"/>
      <c r="H63" s="9"/>
      <c r="I63" s="9"/>
      <c r="J63" s="14"/>
      <c r="K63" s="14">
        <f>721.21*1.53</f>
      </c>
      <c r="L63" s="15" t="s">
        <v>74</v>
      </c>
      <c r="M63" s="7" t="s">
        <v>535</v>
      </c>
      <c r="N63" s="20"/>
      <c r="O63" s="15" t="s">
        <v>76</v>
      </c>
      <c r="P63" s="20"/>
      <c r="Q63" s="14">
        <v>2024</v>
      </c>
      <c r="R63" s="15" t="s">
        <v>86</v>
      </c>
      <c r="S63" s="7"/>
      <c r="T63" s="7"/>
      <c r="U63" s="7"/>
      <c r="V63" s="15"/>
      <c r="W63" s="4" t="s">
        <v>280</v>
      </c>
      <c r="X63" s="12">
        <f>0.9*$J63</f>
      </c>
      <c r="Y63" s="12">
        <f>1.5*J63</f>
      </c>
      <c r="Z63" s="4" t="s">
        <v>45</v>
      </c>
      <c r="AA63" s="13">
        <f>0.9*K63</f>
      </c>
      <c r="AB63" s="13">
        <f>1.3*K63</f>
      </c>
      <c r="AC63" s="4" t="s">
        <v>45</v>
      </c>
      <c r="AD63" s="13">
        <v>0.1</v>
      </c>
      <c r="AE63" s="11">
        <v>1</v>
      </c>
      <c r="AF63" s="11">
        <v>0</v>
      </c>
      <c r="AG63" s="4" t="s">
        <v>46</v>
      </c>
      <c r="AH63" s="61"/>
      <c r="AI63" s="61"/>
      <c r="AJ63" s="61"/>
    </row>
    <row x14ac:dyDescent="0.25" r="64" customHeight="1" ht="15">
      <c r="A64" s="6">
        <v>22</v>
      </c>
      <c r="B64" s="6">
        <f>IF(ISNUMBER(A64),
IF(AND(A64=INT(A64), MOD(A64, 10) = 0), 0,
IF(AND(A64=INT(A64), LEN(A64)=2), 1,
IF(AND(A64=INT(A64), LEN(A64)=3), 2,
LEN(A64) - FIND(".", A64) + 2)
)
),
"")</f>
      </c>
      <c r="C64" s="7" t="s">
        <v>385</v>
      </c>
      <c r="D64" s="8">
        <f>REPT("   ", B64*2) &amp; C64</f>
      </c>
      <c r="E64" s="9"/>
      <c r="F64" s="9"/>
      <c r="G64" s="9"/>
      <c r="H64" s="9"/>
      <c r="I64" s="9"/>
      <c r="J64" s="14"/>
      <c r="K64" s="14"/>
      <c r="L64" s="14"/>
      <c r="M64" s="7"/>
      <c r="N64" s="20"/>
      <c r="O64" s="15"/>
      <c r="P64" s="20"/>
      <c r="Q64" s="14"/>
      <c r="R64" s="15"/>
      <c r="S64" s="7"/>
      <c r="T64" s="15"/>
      <c r="U64" s="15"/>
      <c r="V64" s="15"/>
      <c r="W64" s="4"/>
      <c r="X64" s="12"/>
      <c r="Y64" s="12"/>
      <c r="Z64" s="4"/>
      <c r="AA64" s="13"/>
      <c r="AB64" s="13"/>
      <c r="AC64" s="4"/>
      <c r="AD64" s="13"/>
      <c r="AE64" s="11"/>
      <c r="AF64" s="11"/>
      <c r="AG64" s="4"/>
      <c r="AH64" s="61"/>
      <c r="AI64" s="61"/>
      <c r="AJ64" s="61"/>
    </row>
    <row x14ac:dyDescent="0.25" r="65" customHeight="1" ht="15">
      <c r="A65" s="20">
        <v>221</v>
      </c>
      <c r="B65" s="6">
        <f>IF(ISNUMBER(A65),
IF(AND(A65=INT(A65), MOD(A65, 10) = 0), 0,
IF(AND(A65=INT(A65), LEN(A65)=2), 1,
IF(AND(A65=INT(A65), LEN(A65)=3), 2,
LEN(A65) - FIND(".", A65) + 2)
)
),
"")</f>
      </c>
      <c r="C65" s="7" t="s">
        <v>386</v>
      </c>
      <c r="D65" s="8">
        <f>REPT("   ", B65*2) &amp; C65</f>
      </c>
      <c r="E65" s="9"/>
      <c r="F65" s="9"/>
      <c r="G65" s="9"/>
      <c r="H65" s="9"/>
      <c r="I65" s="9"/>
      <c r="J65" s="14"/>
      <c r="K65" s="14"/>
      <c r="L65" s="14"/>
      <c r="M65" s="7"/>
      <c r="N65" s="20"/>
      <c r="O65" s="15"/>
      <c r="P65" s="20"/>
      <c r="Q65" s="14"/>
      <c r="R65" s="15"/>
      <c r="S65" s="7"/>
      <c r="T65" s="15"/>
      <c r="U65" s="15"/>
      <c r="V65" s="15"/>
      <c r="W65" s="4"/>
      <c r="X65" s="12"/>
      <c r="Y65" s="12"/>
      <c r="Z65" s="4"/>
      <c r="AA65" s="13"/>
      <c r="AB65" s="13"/>
      <c r="AC65" s="4"/>
      <c r="AD65" s="13"/>
      <c r="AE65" s="11"/>
      <c r="AF65" s="11"/>
      <c r="AG65" s="4"/>
      <c r="AH65" s="61"/>
      <c r="AI65" s="61"/>
      <c r="AJ65" s="61"/>
    </row>
    <row x14ac:dyDescent="0.25" r="66" customHeight="1" ht="30">
      <c r="A66" s="23">
        <v>221.1</v>
      </c>
      <c r="B66" s="6">
        <f>IF(ISNUMBER(A66),
IF(AND(A66=INT(A66), MOD(A66, 10) = 0), 0,
IF(AND(A66=INT(A66), LEN(A66)=2), 1,
IF(AND(A66=INT(A66), LEN(A66)=3), 2,
LEN(A66) - FIND(".", A66) + 2)
)
),
"")</f>
      </c>
      <c r="C66" s="7" t="s">
        <v>536</v>
      </c>
      <c r="D66" s="8">
        <f>REPT("   ", B66*2) &amp; C66</f>
      </c>
      <c r="E66" s="9"/>
      <c r="F66" s="9"/>
      <c r="G66" s="9"/>
      <c r="H66" s="9"/>
      <c r="I66" s="9"/>
      <c r="J66" s="14"/>
      <c r="K66" s="112"/>
      <c r="L66" s="15"/>
      <c r="M66" s="7"/>
      <c r="N66" s="20"/>
      <c r="O66" s="15"/>
      <c r="P66" s="20"/>
      <c r="Q66" s="14"/>
      <c r="R66" s="15"/>
      <c r="S66" s="7"/>
      <c r="T66" s="15"/>
      <c r="U66" s="15"/>
      <c r="V66" s="15"/>
      <c r="W66" s="4"/>
      <c r="X66" s="12"/>
      <c r="Y66" s="12"/>
      <c r="Z66" s="4"/>
      <c r="AA66" s="13"/>
      <c r="AB66" s="13"/>
      <c r="AC66" s="4"/>
      <c r="AD66" s="13"/>
      <c r="AE66" s="11"/>
      <c r="AF66" s="11"/>
      <c r="AG66" s="4"/>
      <c r="AH66" s="61"/>
      <c r="AI66" s="61"/>
      <c r="AJ66" s="61"/>
    </row>
    <row x14ac:dyDescent="0.25" r="67" customHeight="1" ht="63">
      <c r="A67" s="23">
        <v>221.11</v>
      </c>
      <c r="B67" s="6">
        <f>IF(ISNUMBER(A67),
IF(AND(A67=INT(A67), MOD(A67, 10) = 0), 0,
IF(AND(A67=INT(A67), LEN(A67)=2), 1,
IF(AND(A67=INT(A67), LEN(A67)=3), 2,
LEN(A67) - FIND(".", A67) + 2)
)
),
"")</f>
      </c>
      <c r="C67" s="7" t="s">
        <v>537</v>
      </c>
      <c r="D67" s="8">
        <f>REPT("   ", B67*2) &amp; C67</f>
      </c>
      <c r="E67" s="7" t="s">
        <v>35</v>
      </c>
      <c r="F67" s="9"/>
      <c r="G67" s="9"/>
      <c r="H67" s="9"/>
      <c r="I67" s="9"/>
      <c r="J67" s="14"/>
      <c r="K67" s="14">
        <f>MARVEL_Cost!C16/N67</f>
      </c>
      <c r="L67" s="15" t="s">
        <v>261</v>
      </c>
      <c r="M67" s="7" t="s">
        <v>538</v>
      </c>
      <c r="N67" s="14">
        <f>1000*('Design Variables'!B52+'Design Variables'!B49)</f>
      </c>
      <c r="O67" s="15" t="s">
        <v>263</v>
      </c>
      <c r="P67" s="39">
        <v>0.85</v>
      </c>
      <c r="Q67" s="14">
        <v>2018</v>
      </c>
      <c r="R67" s="15" t="s">
        <v>86</v>
      </c>
      <c r="S67" s="7" t="s">
        <v>156</v>
      </c>
      <c r="T67" s="7"/>
      <c r="U67" s="7"/>
      <c r="V67" s="7" t="s">
        <v>539</v>
      </c>
      <c r="W67" s="4" t="s">
        <v>285</v>
      </c>
      <c r="X67" s="12">
        <f>0.9*$J67</f>
      </c>
      <c r="Y67" s="12">
        <f>1.5*J67</f>
      </c>
      <c r="Z67" s="4" t="s">
        <v>45</v>
      </c>
      <c r="AA67" s="13">
        <f>0.9*K67</f>
      </c>
      <c r="AB67" s="13">
        <f>1.3*K67</f>
      </c>
      <c r="AC67" s="4" t="s">
        <v>45</v>
      </c>
      <c r="AD67" s="13">
        <v>0.1</v>
      </c>
      <c r="AE67" s="11">
        <v>1</v>
      </c>
      <c r="AF67" s="11">
        <v>0</v>
      </c>
      <c r="AG67" s="4" t="s">
        <v>46</v>
      </c>
      <c r="AH67" s="61"/>
      <c r="AI67" s="61"/>
      <c r="AJ67" s="61"/>
    </row>
    <row x14ac:dyDescent="0.25" r="68" customHeight="1" ht="30">
      <c r="A68" s="23">
        <v>221.12</v>
      </c>
      <c r="B68" s="6">
        <f>IF(ISNUMBER(A68),
IF(AND(A68=INT(A68), MOD(A68, 10) = 0), 0,
IF(AND(A68=INT(A68), LEN(A68)=2), 1,
IF(AND(A68=INT(A68), LEN(A68)=3), 2,
LEN(A68) - FIND(".", A68) + 2)
)
),
"")</f>
      </c>
      <c r="C68" s="7" t="s">
        <v>540</v>
      </c>
      <c r="D68" s="8">
        <f>REPT("   ", B68*2) &amp; C68</f>
      </c>
      <c r="E68" s="7" t="s">
        <v>35</v>
      </c>
      <c r="F68" s="7" t="s">
        <v>541</v>
      </c>
      <c r="G68" s="7" t="s">
        <v>542</v>
      </c>
      <c r="H68" s="9"/>
      <c r="I68" s="9"/>
      <c r="J68" s="14"/>
      <c r="K68" s="14">
        <f>MARVEL_Cost!C17/N68</f>
      </c>
      <c r="L68" s="15" t="s">
        <v>261</v>
      </c>
      <c r="M68" s="7" t="s">
        <v>543</v>
      </c>
      <c r="N68" s="14">
        <f>'Design Variables'!B52*1000</f>
      </c>
      <c r="O68" s="15" t="s">
        <v>263</v>
      </c>
      <c r="P68" s="20"/>
      <c r="Q68" s="14">
        <v>2017</v>
      </c>
      <c r="R68" s="15" t="s">
        <v>86</v>
      </c>
      <c r="S68" s="7" t="s">
        <v>544</v>
      </c>
      <c r="T68" s="40" t="s">
        <v>545</v>
      </c>
      <c r="U68" s="7"/>
      <c r="V68" s="15"/>
      <c r="W68" s="4" t="s">
        <v>285</v>
      </c>
      <c r="X68" s="12">
        <f>0.9*$J68</f>
      </c>
      <c r="Y68" s="12">
        <f>1.5*J68</f>
      </c>
      <c r="Z68" s="4" t="s">
        <v>45</v>
      </c>
      <c r="AA68" s="13">
        <f>0.9*K68</f>
      </c>
      <c r="AB68" s="13">
        <f>1.3*K68</f>
      </c>
      <c r="AC68" s="4" t="s">
        <v>45</v>
      </c>
      <c r="AD68" s="13">
        <v>0.1</v>
      </c>
      <c r="AE68" s="11">
        <v>1</v>
      </c>
      <c r="AF68" s="11">
        <v>0</v>
      </c>
      <c r="AG68" s="4" t="s">
        <v>46</v>
      </c>
      <c r="AH68" s="61"/>
      <c r="AI68" s="61"/>
      <c r="AJ68" s="61"/>
    </row>
    <row x14ac:dyDescent="0.25" r="69" customHeight="1" ht="30">
      <c r="A69" s="23">
        <v>221.12</v>
      </c>
      <c r="B69" s="6">
        <f>IF(ISNUMBER(A69),
IF(AND(A69=INT(A69), MOD(A69, 10) = 0), 0,
IF(AND(A69=INT(A69), LEN(A69)=2), 1,
IF(AND(A69=INT(A69), LEN(A69)=3), 2,
LEN(A69) - FIND(".", A69) + 2)
)
),
"")</f>
      </c>
      <c r="C69" s="7" t="s">
        <v>540</v>
      </c>
      <c r="D69" s="8">
        <f>REPT("   ", B69*2) &amp; C69</f>
      </c>
      <c r="E69" s="7" t="s">
        <v>35</v>
      </c>
      <c r="F69" s="7" t="s">
        <v>541</v>
      </c>
      <c r="G69" s="7" t="s">
        <v>546</v>
      </c>
      <c r="H69" s="9"/>
      <c r="I69" s="9"/>
      <c r="J69" s="14"/>
      <c r="K69" s="14">
        <v>154.08</v>
      </c>
      <c r="L69" s="15" t="s">
        <v>261</v>
      </c>
      <c r="M69" s="7" t="s">
        <v>543</v>
      </c>
      <c r="N69" s="14"/>
      <c r="O69" s="15"/>
      <c r="P69" s="20"/>
      <c r="Q69" s="14">
        <v>2017</v>
      </c>
      <c r="R69" s="15" t="s">
        <v>86</v>
      </c>
      <c r="S69" s="7" t="s">
        <v>544</v>
      </c>
      <c r="T69" s="41"/>
      <c r="U69" s="7"/>
      <c r="V69" s="15"/>
      <c r="W69" s="4" t="s">
        <v>285</v>
      </c>
      <c r="X69" s="12">
        <f>0.9*$J69</f>
      </c>
      <c r="Y69" s="12">
        <f>1.5*J69</f>
      </c>
      <c r="Z69" s="4" t="s">
        <v>45</v>
      </c>
      <c r="AA69" s="13">
        <f>0.9*K69</f>
      </c>
      <c r="AB69" s="13">
        <f>1.3*K69</f>
      </c>
      <c r="AC69" s="4" t="s">
        <v>45</v>
      </c>
      <c r="AD69" s="13">
        <v>0.1</v>
      </c>
      <c r="AE69" s="11">
        <v>1</v>
      </c>
      <c r="AF69" s="11">
        <v>0</v>
      </c>
      <c r="AG69" s="4" t="s">
        <v>46</v>
      </c>
      <c r="AH69" s="61"/>
      <c r="AI69" s="61"/>
      <c r="AJ69" s="61"/>
    </row>
    <row x14ac:dyDescent="0.25" r="70" customHeight="1" ht="30">
      <c r="A70" s="23">
        <v>221.12</v>
      </c>
      <c r="B70" s="6">
        <v>4</v>
      </c>
      <c r="C70" s="7" t="s">
        <v>540</v>
      </c>
      <c r="D70" s="8">
        <f>REPT("   ", B70*2) &amp; C70</f>
      </c>
      <c r="E70" s="7" t="s">
        <v>35</v>
      </c>
      <c r="F70" s="7" t="s">
        <v>541</v>
      </c>
      <c r="G70" s="7" t="s">
        <v>547</v>
      </c>
      <c r="H70" s="9"/>
      <c r="I70" s="9"/>
      <c r="J70" s="14"/>
      <c r="K70" s="14">
        <v>444.08</v>
      </c>
      <c r="L70" s="15" t="s">
        <v>261</v>
      </c>
      <c r="M70" s="7" t="s">
        <v>543</v>
      </c>
      <c r="N70" s="14"/>
      <c r="O70" s="15"/>
      <c r="P70" s="20"/>
      <c r="Q70" s="14">
        <v>2017</v>
      </c>
      <c r="R70" s="15" t="s">
        <v>86</v>
      </c>
      <c r="S70" s="7" t="s">
        <v>544</v>
      </c>
      <c r="T70" s="41"/>
      <c r="U70" s="7"/>
      <c r="V70" s="15"/>
      <c r="W70" s="4" t="s">
        <v>285</v>
      </c>
      <c r="X70" s="12">
        <f>0.9*$J70</f>
      </c>
      <c r="Y70" s="12">
        <f>1.5*J70</f>
      </c>
      <c r="Z70" s="4" t="s">
        <v>45</v>
      </c>
      <c r="AA70" s="13">
        <f>0.9*K70</f>
      </c>
      <c r="AB70" s="13">
        <f>1.3*K70</f>
      </c>
      <c r="AC70" s="4" t="s">
        <v>45</v>
      </c>
      <c r="AD70" s="13">
        <v>0.1</v>
      </c>
      <c r="AE70" s="11">
        <v>1</v>
      </c>
      <c r="AF70" s="11">
        <v>0</v>
      </c>
      <c r="AG70" s="4" t="s">
        <v>46</v>
      </c>
      <c r="AH70" s="61"/>
      <c r="AI70" s="61"/>
      <c r="AJ70" s="61"/>
    </row>
    <row x14ac:dyDescent="0.25" r="71" customHeight="1" ht="30">
      <c r="A71" s="23">
        <v>221.13</v>
      </c>
      <c r="B71" s="6">
        <v>4</v>
      </c>
      <c r="C71" s="7" t="s">
        <v>548</v>
      </c>
      <c r="D71" s="8">
        <f>REPT("   ", B71*2) &amp; C71</f>
      </c>
      <c r="E71" s="7" t="s">
        <v>35</v>
      </c>
      <c r="F71" s="7" t="s">
        <v>549</v>
      </c>
      <c r="G71" s="7" t="s">
        <v>542</v>
      </c>
      <c r="H71" s="9"/>
      <c r="I71" s="9"/>
      <c r="J71" s="14">
        <f>MARVEL_Cost!C37+MARVEL_Cost!C36</f>
      </c>
      <c r="K71" s="14">
        <f>(MARVEL_Cost!C35)/N71</f>
      </c>
      <c r="L71" s="15" t="s">
        <v>261</v>
      </c>
      <c r="M71" s="7" t="s">
        <v>550</v>
      </c>
      <c r="N71" s="14">
        <f>1000*'Design Variables'!B49</f>
      </c>
      <c r="O71" s="15"/>
      <c r="P71" s="20"/>
      <c r="Q71" s="14">
        <v>2017</v>
      </c>
      <c r="R71" s="15" t="s">
        <v>86</v>
      </c>
      <c r="S71" s="7" t="s">
        <v>544</v>
      </c>
      <c r="T71" s="41"/>
      <c r="U71" s="7"/>
      <c r="V71" s="7" t="s">
        <v>551</v>
      </c>
      <c r="W71" s="4" t="s">
        <v>285</v>
      </c>
      <c r="X71" s="12">
        <f>0.9*$J71</f>
      </c>
      <c r="Y71" s="12">
        <f>1.5*J71</f>
      </c>
      <c r="Z71" s="4" t="s">
        <v>45</v>
      </c>
      <c r="AA71" s="13">
        <f>0.9*K71</f>
      </c>
      <c r="AB71" s="13">
        <f>1.3*K71</f>
      </c>
      <c r="AC71" s="4" t="s">
        <v>45</v>
      </c>
      <c r="AD71" s="13">
        <v>0.1</v>
      </c>
      <c r="AE71" s="11">
        <v>1</v>
      </c>
      <c r="AF71" s="11">
        <v>0</v>
      </c>
      <c r="AG71" s="4" t="s">
        <v>46</v>
      </c>
      <c r="AH71" s="61"/>
      <c r="AI71" s="61"/>
      <c r="AJ71" s="61"/>
    </row>
    <row x14ac:dyDescent="0.25" r="72" customHeight="1" ht="30">
      <c r="A72" s="23">
        <v>221.13</v>
      </c>
      <c r="B72" s="6">
        <v>4</v>
      </c>
      <c r="C72" s="7" t="s">
        <v>548</v>
      </c>
      <c r="D72" s="8">
        <f>REPT("   ", B72*2) &amp; C72</f>
      </c>
      <c r="E72" s="7" t="s">
        <v>35</v>
      </c>
      <c r="F72" s="7" t="s">
        <v>549</v>
      </c>
      <c r="G72" s="7" t="s">
        <v>546</v>
      </c>
      <c r="H72" s="9"/>
      <c r="I72" s="9"/>
      <c r="J72" s="14"/>
      <c r="K72" s="14">
        <v>154.08</v>
      </c>
      <c r="L72" s="15" t="s">
        <v>261</v>
      </c>
      <c r="M72" s="7" t="s">
        <v>550</v>
      </c>
      <c r="N72" s="20"/>
      <c r="O72" s="15"/>
      <c r="P72" s="20"/>
      <c r="Q72" s="14">
        <v>2017</v>
      </c>
      <c r="R72" s="15" t="s">
        <v>86</v>
      </c>
      <c r="S72" s="7" t="s">
        <v>544</v>
      </c>
      <c r="T72" s="41"/>
      <c r="U72" s="7"/>
      <c r="V72" s="7"/>
      <c r="W72" s="4" t="s">
        <v>285</v>
      </c>
      <c r="X72" s="12">
        <f>0.9*$J72</f>
      </c>
      <c r="Y72" s="12">
        <f>1.5*J72</f>
      </c>
      <c r="Z72" s="4" t="s">
        <v>45</v>
      </c>
      <c r="AA72" s="13">
        <f>0.9*K72</f>
      </c>
      <c r="AB72" s="13">
        <f>1.3*K72</f>
      </c>
      <c r="AC72" s="4" t="s">
        <v>45</v>
      </c>
      <c r="AD72" s="13">
        <v>0.1</v>
      </c>
      <c r="AE72" s="11">
        <v>1</v>
      </c>
      <c r="AF72" s="11">
        <v>0</v>
      </c>
      <c r="AG72" s="4" t="s">
        <v>46</v>
      </c>
      <c r="AH72" s="61"/>
      <c r="AI72" s="61"/>
      <c r="AJ72" s="61"/>
    </row>
    <row x14ac:dyDescent="0.25" r="73" customHeight="1" ht="30">
      <c r="A73" s="23">
        <v>221.13</v>
      </c>
      <c r="B73" s="6">
        <v>4</v>
      </c>
      <c r="C73" s="7" t="s">
        <v>548</v>
      </c>
      <c r="D73" s="8">
        <f>REPT("   ", B73*2) &amp; C73</f>
      </c>
      <c r="E73" s="7" t="s">
        <v>35</v>
      </c>
      <c r="F73" s="7" t="s">
        <v>549</v>
      </c>
      <c r="G73" s="7" t="s">
        <v>547</v>
      </c>
      <c r="H73" s="9"/>
      <c r="I73" s="9"/>
      <c r="J73" s="14"/>
      <c r="K73" s="14">
        <v>444.08</v>
      </c>
      <c r="L73" s="15" t="s">
        <v>261</v>
      </c>
      <c r="M73" s="7" t="s">
        <v>550</v>
      </c>
      <c r="N73" s="20"/>
      <c r="O73" s="15"/>
      <c r="P73" s="20"/>
      <c r="Q73" s="14">
        <v>2017</v>
      </c>
      <c r="R73" s="15" t="s">
        <v>86</v>
      </c>
      <c r="S73" s="7" t="s">
        <v>544</v>
      </c>
      <c r="T73" s="41"/>
      <c r="U73" s="7"/>
      <c r="V73" s="7"/>
      <c r="W73" s="4" t="s">
        <v>285</v>
      </c>
      <c r="X73" s="12">
        <f>0.9*$J73</f>
      </c>
      <c r="Y73" s="12">
        <f>1.5*J73</f>
      </c>
      <c r="Z73" s="4" t="s">
        <v>45</v>
      </c>
      <c r="AA73" s="13">
        <f>0.9*K73</f>
      </c>
      <c r="AB73" s="13">
        <f>1.3*K73</f>
      </c>
      <c r="AC73" s="4" t="s">
        <v>45</v>
      </c>
      <c r="AD73" s="13">
        <v>0.1</v>
      </c>
      <c r="AE73" s="11">
        <v>1</v>
      </c>
      <c r="AF73" s="11">
        <v>0</v>
      </c>
      <c r="AG73" s="4" t="s">
        <v>46</v>
      </c>
      <c r="AH73" s="61"/>
      <c r="AI73" s="61"/>
      <c r="AJ73" s="61"/>
    </row>
    <row x14ac:dyDescent="0.25" r="74" customHeight="1" ht="30">
      <c r="A74" s="23">
        <v>221.2</v>
      </c>
      <c r="B74" s="6">
        <v>3</v>
      </c>
      <c r="C74" s="7" t="s">
        <v>552</v>
      </c>
      <c r="D74" s="8">
        <f>REPT("   ", B74*2) &amp; C74</f>
      </c>
      <c r="E74" s="9"/>
      <c r="F74" s="9"/>
      <c r="G74" s="9"/>
      <c r="H74" s="9"/>
      <c r="I74" s="9"/>
      <c r="J74" s="14"/>
      <c r="K74" s="14"/>
      <c r="L74" s="15"/>
      <c r="M74" s="7"/>
      <c r="N74" s="20"/>
      <c r="O74" s="15"/>
      <c r="P74" s="20"/>
      <c r="Q74" s="14"/>
      <c r="R74" s="15"/>
      <c r="S74" s="7"/>
      <c r="T74" s="15"/>
      <c r="U74" s="15"/>
      <c r="V74" s="15"/>
      <c r="W74" s="4"/>
      <c r="X74" s="12"/>
      <c r="Y74" s="12"/>
      <c r="Z74" s="4"/>
      <c r="AA74" s="13"/>
      <c r="AB74" s="13"/>
      <c r="AC74" s="4"/>
      <c r="AD74" s="13"/>
      <c r="AE74" s="11"/>
      <c r="AF74" s="11"/>
      <c r="AG74" s="4"/>
      <c r="AH74" s="61"/>
      <c r="AI74" s="61"/>
      <c r="AJ74" s="61"/>
    </row>
    <row x14ac:dyDescent="0.25" r="75" customHeight="1" ht="30">
      <c r="A75" s="23">
        <v>221.21</v>
      </c>
      <c r="B75" s="6">
        <v>4</v>
      </c>
      <c r="C75" s="7" t="s">
        <v>553</v>
      </c>
      <c r="D75" s="8">
        <f>REPT("   ", B75*2) &amp; C75</f>
      </c>
      <c r="E75" s="9"/>
      <c r="F75" s="9"/>
      <c r="G75" s="9"/>
      <c r="H75" s="9"/>
      <c r="I75" s="9"/>
      <c r="J75" s="14"/>
      <c r="K75" s="14"/>
      <c r="L75" s="15"/>
      <c r="M75" s="7"/>
      <c r="N75" s="20"/>
      <c r="O75" s="15"/>
      <c r="P75" s="20"/>
      <c r="Q75" s="14"/>
      <c r="R75" s="15"/>
      <c r="S75" s="7"/>
      <c r="T75" s="15"/>
      <c r="U75" s="15"/>
      <c r="V75" s="15"/>
      <c r="W75" s="4"/>
      <c r="X75" s="12"/>
      <c r="Y75" s="12"/>
      <c r="Z75" s="4"/>
      <c r="AA75" s="13"/>
      <c r="AB75" s="13"/>
      <c r="AC75" s="4"/>
      <c r="AD75" s="13"/>
      <c r="AE75" s="11"/>
      <c r="AF75" s="11"/>
      <c r="AG75" s="4"/>
      <c r="AH75" s="61"/>
      <c r="AI75" s="61"/>
      <c r="AJ75" s="61"/>
    </row>
    <row x14ac:dyDescent="0.25" r="76" customHeight="1" ht="42">
      <c r="A76" s="23">
        <v>221.211</v>
      </c>
      <c r="B76" s="6">
        <v>5</v>
      </c>
      <c r="C76" s="7" t="s">
        <v>393</v>
      </c>
      <c r="D76" s="8">
        <f>REPT("   ", B76*2) &amp; C76</f>
      </c>
      <c r="E76" s="7" t="s">
        <v>35</v>
      </c>
      <c r="F76" s="9"/>
      <c r="G76" s="9"/>
      <c r="H76" s="9"/>
      <c r="I76" s="9"/>
      <c r="J76" s="14"/>
      <c r="K76" s="14">
        <f>MARVEL_Cost!C21/'Design Variables'!B21</f>
      </c>
      <c r="L76" s="15" t="s">
        <v>554</v>
      </c>
      <c r="M76" s="7" t="s">
        <v>555</v>
      </c>
      <c r="N76" s="20"/>
      <c r="O76" s="15"/>
      <c r="P76" s="20"/>
      <c r="Q76" s="14">
        <v>2024</v>
      </c>
      <c r="R76" s="15" t="s">
        <v>86</v>
      </c>
      <c r="S76" s="7" t="s">
        <v>556</v>
      </c>
      <c r="T76" s="40" t="s">
        <v>557</v>
      </c>
      <c r="U76" s="40" t="s">
        <v>558</v>
      </c>
      <c r="V76" s="7" t="s">
        <v>559</v>
      </c>
      <c r="W76" s="4" t="s">
        <v>286</v>
      </c>
      <c r="X76" s="12">
        <f>0.9*$J76</f>
      </c>
      <c r="Y76" s="12">
        <f>1.5*J76</f>
      </c>
      <c r="Z76" s="4" t="s">
        <v>45</v>
      </c>
      <c r="AA76" s="11">
        <f>0.9*K76</f>
      </c>
      <c r="AB76" s="11">
        <f>1.3*K76</f>
      </c>
      <c r="AC76" s="4" t="s">
        <v>45</v>
      </c>
      <c r="AD76" s="13">
        <v>0.1</v>
      </c>
      <c r="AE76" s="11">
        <v>1</v>
      </c>
      <c r="AF76" s="11">
        <v>0</v>
      </c>
      <c r="AG76" s="4" t="s">
        <v>46</v>
      </c>
      <c r="AH76" s="61"/>
      <c r="AI76" s="61"/>
      <c r="AJ76" s="61"/>
    </row>
    <row x14ac:dyDescent="0.25" r="77" customHeight="1" ht="13.5">
      <c r="A77" s="23">
        <v>221.212</v>
      </c>
      <c r="B77" s="6">
        <v>5</v>
      </c>
      <c r="C77" s="7" t="s">
        <v>394</v>
      </c>
      <c r="D77" s="8">
        <f>REPT("   ", B77*2) &amp; C77</f>
      </c>
      <c r="E77" s="7" t="s">
        <v>35</v>
      </c>
      <c r="F77" s="9"/>
      <c r="G77" s="9"/>
      <c r="H77" s="9"/>
      <c r="I77" s="9"/>
      <c r="J77" s="14"/>
      <c r="K77" s="14">
        <f>MARVEL_Cost!C22/'Design Variables'!B21</f>
      </c>
      <c r="L77" s="15" t="s">
        <v>554</v>
      </c>
      <c r="M77" s="7" t="s">
        <v>555</v>
      </c>
      <c r="N77" s="20"/>
      <c r="O77" s="15"/>
      <c r="P77" s="20"/>
      <c r="Q77" s="14">
        <v>2024</v>
      </c>
      <c r="R77" s="15" t="s">
        <v>68</v>
      </c>
      <c r="S77" s="7" t="s">
        <v>556</v>
      </c>
      <c r="T77" s="41"/>
      <c r="U77" s="41"/>
      <c r="V77" s="15"/>
      <c r="W77" s="4" t="s">
        <v>286</v>
      </c>
      <c r="X77" s="12">
        <f>0.9*$J77</f>
      </c>
      <c r="Y77" s="12">
        <f>1.5*J77</f>
      </c>
      <c r="Z77" s="4" t="s">
        <v>45</v>
      </c>
      <c r="AA77" s="13">
        <f>0.9*K77</f>
      </c>
      <c r="AB77" s="13">
        <f>1.3*K77</f>
      </c>
      <c r="AC77" s="4" t="s">
        <v>45</v>
      </c>
      <c r="AD77" s="13">
        <v>0.1</v>
      </c>
      <c r="AE77" s="11">
        <v>1</v>
      </c>
      <c r="AF77" s="11">
        <v>0</v>
      </c>
      <c r="AG77" s="4" t="s">
        <v>46</v>
      </c>
      <c r="AH77" s="61"/>
      <c r="AI77" s="61"/>
      <c r="AJ77" s="61"/>
    </row>
    <row x14ac:dyDescent="0.25" r="78" customHeight="1" ht="30">
      <c r="A78" s="23">
        <v>221.213</v>
      </c>
      <c r="B78" s="6">
        <v>5</v>
      </c>
      <c r="C78" s="7" t="s">
        <v>395</v>
      </c>
      <c r="D78" s="8">
        <f>REPT("   ", B78*2) &amp; C78</f>
      </c>
      <c r="E78" s="7" t="s">
        <v>35</v>
      </c>
      <c r="F78" s="7" t="s">
        <v>560</v>
      </c>
      <c r="G78" s="7" t="s">
        <v>561</v>
      </c>
      <c r="H78" s="9"/>
      <c r="I78" s="9"/>
      <c r="J78" s="14"/>
      <c r="K78" s="14">
        <f>400000/N78</f>
      </c>
      <c r="L78" s="15" t="s">
        <v>261</v>
      </c>
      <c r="M78" s="7" t="s">
        <v>562</v>
      </c>
      <c r="N78" s="14">
        <f>'Design Variables'!B28+'Design Variables'!B29</f>
      </c>
      <c r="O78" s="15" t="s">
        <v>263</v>
      </c>
      <c r="P78" s="14">
        <v>1</v>
      </c>
      <c r="Q78" s="14">
        <v>2024</v>
      </c>
      <c r="R78" s="15" t="s">
        <v>294</v>
      </c>
      <c r="S78" s="7" t="s">
        <v>556</v>
      </c>
      <c r="T78" s="41"/>
      <c r="U78" s="41"/>
      <c r="V78" s="15"/>
      <c r="W78" s="4" t="s">
        <v>287</v>
      </c>
      <c r="X78" s="12">
        <f>0.9*$J78</f>
      </c>
      <c r="Y78" s="12">
        <f>1.5*J78</f>
      </c>
      <c r="Z78" s="4" t="s">
        <v>45</v>
      </c>
      <c r="AA78" s="13">
        <f>0.9*K78</f>
      </c>
      <c r="AB78" s="13">
        <f>1.3*K78</f>
      </c>
      <c r="AC78" s="4" t="s">
        <v>45</v>
      </c>
      <c r="AD78" s="13">
        <v>0.1</v>
      </c>
      <c r="AE78" s="11">
        <v>1</v>
      </c>
      <c r="AF78" s="11">
        <v>0</v>
      </c>
      <c r="AG78" s="4" t="s">
        <v>46</v>
      </c>
      <c r="AH78" s="61"/>
      <c r="AI78" s="61"/>
      <c r="AJ78" s="61"/>
    </row>
    <row x14ac:dyDescent="0.25" r="79" customHeight="1" ht="30">
      <c r="A79" s="23">
        <v>221.213</v>
      </c>
      <c r="B79" s="6">
        <v>5</v>
      </c>
      <c r="C79" s="7" t="s">
        <v>395</v>
      </c>
      <c r="D79" s="8">
        <f>REPT("   ", B79*2) &amp; C79</f>
      </c>
      <c r="E79" s="7" t="s">
        <v>35</v>
      </c>
      <c r="F79" s="7" t="s">
        <v>560</v>
      </c>
      <c r="G79" s="7" t="s">
        <v>563</v>
      </c>
      <c r="H79" s="9"/>
      <c r="I79" s="9"/>
      <c r="J79" s="14"/>
      <c r="K79" s="14">
        <v>10064</v>
      </c>
      <c r="L79" s="15" t="s">
        <v>261</v>
      </c>
      <c r="M79" s="7" t="s">
        <v>562</v>
      </c>
      <c r="N79" s="20"/>
      <c r="O79" s="15"/>
      <c r="P79" s="20"/>
      <c r="Q79" s="14">
        <v>2023</v>
      </c>
      <c r="R79" s="15" t="s">
        <v>294</v>
      </c>
      <c r="S79" s="7" t="s">
        <v>564</v>
      </c>
      <c r="T79" s="41"/>
      <c r="U79" s="41"/>
      <c r="V79" s="15"/>
      <c r="W79" s="4" t="s">
        <v>287</v>
      </c>
      <c r="X79" s="12">
        <f>0.9*$J79</f>
      </c>
      <c r="Y79" s="12">
        <f>1.5*J79</f>
      </c>
      <c r="Z79" s="4" t="s">
        <v>45</v>
      </c>
      <c r="AA79" s="13">
        <f>0.9*K79</f>
      </c>
      <c r="AB79" s="13">
        <f>1.3*K79</f>
      </c>
      <c r="AC79" s="4" t="s">
        <v>45</v>
      </c>
      <c r="AD79" s="13">
        <v>0.1</v>
      </c>
      <c r="AE79" s="11">
        <v>1</v>
      </c>
      <c r="AF79" s="11">
        <v>0</v>
      </c>
      <c r="AG79" s="4" t="s">
        <v>46</v>
      </c>
      <c r="AH79" s="61"/>
      <c r="AI79" s="61"/>
      <c r="AJ79" s="61"/>
    </row>
    <row x14ac:dyDescent="0.25" r="80" customHeight="1" ht="30">
      <c r="A80" s="23">
        <v>221.214</v>
      </c>
      <c r="B80" s="6">
        <v>5</v>
      </c>
      <c r="C80" s="7" t="s">
        <v>396</v>
      </c>
      <c r="D80" s="8">
        <f>REPT("   ", B80*2) &amp; C80</f>
      </c>
      <c r="E80" s="7" t="s">
        <v>35</v>
      </c>
      <c r="F80" s="7" t="s">
        <v>565</v>
      </c>
      <c r="G80" s="7" t="s">
        <v>319</v>
      </c>
      <c r="H80" s="9"/>
      <c r="I80" s="9"/>
      <c r="J80" s="14"/>
      <c r="K80" s="19">
        <f>MARVEL_Cost!C27/N80</f>
      </c>
      <c r="L80" s="15" t="s">
        <v>261</v>
      </c>
      <c r="M80" s="7" t="s">
        <v>566</v>
      </c>
      <c r="N80" s="14">
        <f>'Design Variables'!B17</f>
      </c>
      <c r="O80" s="15" t="s">
        <v>263</v>
      </c>
      <c r="P80" s="14">
        <v>1</v>
      </c>
      <c r="Q80" s="14">
        <v>2024</v>
      </c>
      <c r="R80" s="15" t="s">
        <v>294</v>
      </c>
      <c r="S80" s="7" t="s">
        <v>556</v>
      </c>
      <c r="T80" s="41"/>
      <c r="U80" s="41"/>
      <c r="V80" s="15"/>
      <c r="W80" s="4" t="s">
        <v>289</v>
      </c>
      <c r="X80" s="12">
        <f>0.9*$J80</f>
      </c>
      <c r="Y80" s="12">
        <f>1.5*J80</f>
      </c>
      <c r="Z80" s="4" t="s">
        <v>45</v>
      </c>
      <c r="AA80" s="13">
        <f>0.9*K80</f>
      </c>
      <c r="AB80" s="13">
        <f>1.3*K80</f>
      </c>
      <c r="AC80" s="4" t="s">
        <v>45</v>
      </c>
      <c r="AD80" s="13">
        <v>0.1</v>
      </c>
      <c r="AE80" s="11">
        <v>1</v>
      </c>
      <c r="AF80" s="11">
        <v>0</v>
      </c>
      <c r="AG80" s="4" t="s">
        <v>46</v>
      </c>
      <c r="AH80" s="61"/>
      <c r="AI80" s="61"/>
      <c r="AJ80" s="61"/>
    </row>
    <row x14ac:dyDescent="0.25" r="81" customHeight="1" ht="30">
      <c r="A81" s="23">
        <v>221.214</v>
      </c>
      <c r="B81" s="6">
        <v>5</v>
      </c>
      <c r="C81" s="7" t="s">
        <v>396</v>
      </c>
      <c r="D81" s="8">
        <f>REPT("   ", B81*2) &amp; C81</f>
      </c>
      <c r="E81" s="7" t="s">
        <v>35</v>
      </c>
      <c r="F81" s="7" t="s">
        <v>565</v>
      </c>
      <c r="G81" s="7" t="s">
        <v>567</v>
      </c>
      <c r="H81" s="9"/>
      <c r="I81" s="9"/>
      <c r="J81" s="14"/>
      <c r="K81" s="19">
        <f>MARVEL_Cost!C28/N81</f>
      </c>
      <c r="L81" s="15" t="s">
        <v>261</v>
      </c>
      <c r="M81" s="7" t="s">
        <v>566</v>
      </c>
      <c r="N81" s="14">
        <f>1000*'Design Variables'!B19</f>
      </c>
      <c r="O81" s="15" t="s">
        <v>263</v>
      </c>
      <c r="P81" s="14">
        <v>1</v>
      </c>
      <c r="Q81" s="14">
        <v>2024</v>
      </c>
      <c r="R81" s="15" t="s">
        <v>294</v>
      </c>
      <c r="S81" s="7" t="s">
        <v>556</v>
      </c>
      <c r="T81" s="41"/>
      <c r="U81" s="41"/>
      <c r="V81" s="15"/>
      <c r="W81" s="4" t="s">
        <v>288</v>
      </c>
      <c r="X81" s="12">
        <f>0.9*$J81</f>
      </c>
      <c r="Y81" s="12">
        <f>1.5*J81</f>
      </c>
      <c r="Z81" s="4" t="s">
        <v>45</v>
      </c>
      <c r="AA81" s="13">
        <f>0.9*K81</f>
      </c>
      <c r="AB81" s="13">
        <f>1.3*K81</f>
      </c>
      <c r="AC81" s="4" t="s">
        <v>45</v>
      </c>
      <c r="AD81" s="13">
        <v>0.1</v>
      </c>
      <c r="AE81" s="11">
        <v>1</v>
      </c>
      <c r="AF81" s="11">
        <v>0</v>
      </c>
      <c r="AG81" s="4" t="s">
        <v>46</v>
      </c>
      <c r="AH81" s="61"/>
      <c r="AI81" s="61"/>
      <c r="AJ81" s="113"/>
    </row>
    <row x14ac:dyDescent="0.25" r="82" customHeight="1" ht="30">
      <c r="A82" s="23">
        <v>221.214</v>
      </c>
      <c r="B82" s="6">
        <v>5</v>
      </c>
      <c r="C82" s="7" t="s">
        <v>396</v>
      </c>
      <c r="D82" s="8">
        <f>REPT("   ", B82*2) &amp; C82</f>
      </c>
      <c r="E82" s="7" t="s">
        <v>35</v>
      </c>
      <c r="F82" s="7" t="s">
        <v>565</v>
      </c>
      <c r="G82" s="7" t="s">
        <v>568</v>
      </c>
      <c r="H82" s="9"/>
      <c r="I82" s="9"/>
      <c r="J82" s="14"/>
      <c r="K82" s="19">
        <v>80</v>
      </c>
      <c r="L82" s="15" t="s">
        <v>261</v>
      </c>
      <c r="M82" s="7" t="s">
        <v>566</v>
      </c>
      <c r="N82" s="20"/>
      <c r="O82" s="15"/>
      <c r="P82" s="20"/>
      <c r="Q82" s="14">
        <v>2022</v>
      </c>
      <c r="R82" s="15" t="s">
        <v>294</v>
      </c>
      <c r="S82" s="7" t="s">
        <v>569</v>
      </c>
      <c r="T82" s="41" t="s">
        <v>570</v>
      </c>
      <c r="U82" s="41"/>
      <c r="V82" s="15"/>
      <c r="W82" s="4" t="s">
        <v>287</v>
      </c>
      <c r="X82" s="12">
        <f>0.9*$J82</f>
      </c>
      <c r="Y82" s="12">
        <f>1.5*J82</f>
      </c>
      <c r="Z82" s="4" t="s">
        <v>45</v>
      </c>
      <c r="AA82" s="11">
        <f>0.9*K82</f>
      </c>
      <c r="AB82" s="11">
        <f>1.3*K82</f>
      </c>
      <c r="AC82" s="4" t="s">
        <v>45</v>
      </c>
      <c r="AD82" s="13">
        <v>0.1</v>
      </c>
      <c r="AE82" s="11">
        <v>1</v>
      </c>
      <c r="AF82" s="11">
        <v>0</v>
      </c>
      <c r="AG82" s="4" t="s">
        <v>46</v>
      </c>
      <c r="AH82" s="61"/>
      <c r="AI82" s="61"/>
      <c r="AJ82" s="61"/>
    </row>
    <row x14ac:dyDescent="0.25" r="83" customHeight="1" ht="30">
      <c r="A83" s="23">
        <v>221.215</v>
      </c>
      <c r="B83" s="6">
        <v>5</v>
      </c>
      <c r="C83" s="7" t="s">
        <v>571</v>
      </c>
      <c r="D83" s="8">
        <f>REPT("   ", B83*2) &amp; C83</f>
      </c>
      <c r="E83" s="7" t="s">
        <v>35</v>
      </c>
      <c r="F83" s="9"/>
      <c r="G83" s="9"/>
      <c r="H83" s="9"/>
      <c r="I83" s="9"/>
      <c r="J83" s="14"/>
      <c r="K83" s="14">
        <v>74759</v>
      </c>
      <c r="L83" s="15" t="s">
        <v>554</v>
      </c>
      <c r="M83" s="7" t="s">
        <v>555</v>
      </c>
      <c r="N83" s="20"/>
      <c r="O83" s="15"/>
      <c r="P83" s="20"/>
      <c r="Q83" s="14">
        <v>2023</v>
      </c>
      <c r="R83" s="15" t="s">
        <v>86</v>
      </c>
      <c r="S83" s="7" t="s">
        <v>564</v>
      </c>
      <c r="T83" s="41" t="s">
        <v>572</v>
      </c>
      <c r="U83" s="41"/>
      <c r="V83" s="15" t="s">
        <v>573</v>
      </c>
      <c r="W83" s="4" t="s">
        <v>286</v>
      </c>
      <c r="X83" s="12">
        <f>0.9*$J83</f>
      </c>
      <c r="Y83" s="12">
        <f>1.5*J83</f>
      </c>
      <c r="Z83" s="4" t="s">
        <v>45</v>
      </c>
      <c r="AA83" s="13">
        <f>0.9*K83</f>
      </c>
      <c r="AB83" s="13">
        <f>1.3*K83</f>
      </c>
      <c r="AC83" s="4" t="s">
        <v>45</v>
      </c>
      <c r="AD83" s="13">
        <v>0.1</v>
      </c>
      <c r="AE83" s="11">
        <v>1</v>
      </c>
      <c r="AF83" s="11">
        <v>0</v>
      </c>
      <c r="AG83" s="4" t="s">
        <v>46</v>
      </c>
      <c r="AH83" s="61"/>
      <c r="AI83" s="61"/>
      <c r="AJ83" s="61"/>
    </row>
    <row x14ac:dyDescent="0.25" r="84" customHeight="1" ht="15">
      <c r="A84" s="23">
        <v>221.3</v>
      </c>
      <c r="B84" s="6">
        <v>3</v>
      </c>
      <c r="C84" s="7" t="s">
        <v>574</v>
      </c>
      <c r="D84" s="8">
        <f>REPT("   ", B84*2) &amp; C84</f>
      </c>
      <c r="E84" s="7" t="s">
        <v>35</v>
      </c>
      <c r="F84" s="9"/>
      <c r="G84" s="9"/>
      <c r="H84" s="9"/>
      <c r="I84" s="9"/>
      <c r="J84" s="14"/>
      <c r="K84" s="14"/>
      <c r="L84" s="15"/>
      <c r="M84" s="15"/>
      <c r="N84" s="20"/>
      <c r="O84" s="15"/>
      <c r="P84" s="20"/>
      <c r="Q84" s="14"/>
      <c r="R84" s="15"/>
      <c r="S84" s="7"/>
      <c r="T84" s="15"/>
      <c r="U84" s="15"/>
      <c r="V84" s="15"/>
      <c r="W84" s="4"/>
      <c r="X84" s="12"/>
      <c r="Y84" s="12"/>
      <c r="Z84" s="4"/>
      <c r="AA84" s="13"/>
      <c r="AB84" s="13"/>
      <c r="AC84" s="4"/>
      <c r="AD84" s="13"/>
      <c r="AE84" s="11"/>
      <c r="AF84" s="11"/>
      <c r="AG84" s="4"/>
      <c r="AH84" s="61"/>
      <c r="AI84" s="61"/>
      <c r="AJ84" s="61"/>
    </row>
    <row x14ac:dyDescent="0.25" r="85" customHeight="1" ht="14.25">
      <c r="A85" s="23">
        <v>221.31</v>
      </c>
      <c r="B85" s="6">
        <v>4</v>
      </c>
      <c r="C85" s="7" t="s">
        <v>317</v>
      </c>
      <c r="D85" s="8">
        <f>REPT("   ", B85*2) &amp; C85</f>
      </c>
      <c r="E85" s="9"/>
      <c r="F85" s="9"/>
      <c r="G85" s="9"/>
      <c r="H85" s="9"/>
      <c r="I85" s="9"/>
      <c r="J85" s="14"/>
      <c r="K85" s="19"/>
      <c r="L85" s="15"/>
      <c r="M85" s="7"/>
      <c r="N85" s="20"/>
      <c r="O85" s="15"/>
      <c r="P85" s="20"/>
      <c r="Q85" s="14"/>
      <c r="R85" s="15"/>
      <c r="S85" s="7"/>
      <c r="T85" s="7"/>
      <c r="U85" s="15"/>
      <c r="V85" s="15"/>
      <c r="W85" s="4"/>
      <c r="X85" s="12"/>
      <c r="Y85" s="12"/>
      <c r="Z85" s="4"/>
      <c r="AA85" s="13"/>
      <c r="AB85" s="13"/>
      <c r="AC85" s="4"/>
      <c r="AD85" s="13"/>
      <c r="AE85" s="11"/>
      <c r="AF85" s="11"/>
      <c r="AG85" s="4"/>
      <c r="AH85" s="61"/>
      <c r="AI85" s="61"/>
      <c r="AJ85" s="61"/>
    </row>
    <row x14ac:dyDescent="0.25" r="86" customHeight="1" ht="14.25">
      <c r="A86" s="23">
        <v>221.311</v>
      </c>
      <c r="B86" s="6">
        <v>5</v>
      </c>
      <c r="C86" s="7" t="s">
        <v>575</v>
      </c>
      <c r="D86" s="8">
        <f>REPT("   ", B86*2) &amp; C86</f>
      </c>
      <c r="E86" s="7" t="s">
        <v>35</v>
      </c>
      <c r="F86" s="7" t="s">
        <v>575</v>
      </c>
      <c r="G86" s="7" t="s">
        <v>319</v>
      </c>
      <c r="H86" s="9"/>
      <c r="I86" s="9"/>
      <c r="J86" s="14">
        <f>MARVEL_Cost!C29</f>
      </c>
      <c r="K86" s="19">
        <f>MARVEL_Cost!C27/N86</f>
      </c>
      <c r="L86" s="15" t="s">
        <v>261</v>
      </c>
      <c r="M86" s="7" t="s">
        <v>576</v>
      </c>
      <c r="N86" s="14">
        <f>'Design Variables'!B17</f>
      </c>
      <c r="O86" s="15" t="s">
        <v>263</v>
      </c>
      <c r="P86" s="14">
        <v>1</v>
      </c>
      <c r="Q86" s="14">
        <v>2024</v>
      </c>
      <c r="R86" s="15" t="s">
        <v>294</v>
      </c>
      <c r="S86" s="7" t="s">
        <v>556</v>
      </c>
      <c r="T86" s="7" t="s">
        <v>557</v>
      </c>
      <c r="U86" s="114" t="s">
        <v>558</v>
      </c>
      <c r="V86" s="15"/>
      <c r="W86" s="4" t="s">
        <v>289</v>
      </c>
      <c r="X86" s="12">
        <f>0.9*$J86</f>
      </c>
      <c r="Y86" s="12">
        <f>1.5*J86</f>
      </c>
      <c r="Z86" s="4" t="s">
        <v>45</v>
      </c>
      <c r="AA86" s="13">
        <f>0.9*K86</f>
      </c>
      <c r="AB86" s="13">
        <f>1.3*K86</f>
      </c>
      <c r="AC86" s="4" t="s">
        <v>45</v>
      </c>
      <c r="AD86" s="13">
        <v>0.1</v>
      </c>
      <c r="AE86" s="11">
        <v>1</v>
      </c>
      <c r="AF86" s="11">
        <v>0</v>
      </c>
      <c r="AG86" s="4" t="s">
        <v>46</v>
      </c>
      <c r="AH86" s="61"/>
      <c r="AI86" s="61"/>
      <c r="AJ86" s="61"/>
    </row>
    <row x14ac:dyDescent="0.25" r="87" customHeight="1" ht="14.25">
      <c r="A87" s="23">
        <v>221.312</v>
      </c>
      <c r="B87" s="6">
        <v>5</v>
      </c>
      <c r="C87" s="7" t="s">
        <v>577</v>
      </c>
      <c r="D87" s="8">
        <f>REPT("   ", B87*2) &amp; C87</f>
      </c>
      <c r="E87" s="7" t="s">
        <v>35</v>
      </c>
      <c r="F87" s="7" t="s">
        <v>577</v>
      </c>
      <c r="G87" s="7" t="s">
        <v>319</v>
      </c>
      <c r="H87" s="9"/>
      <c r="I87" s="9"/>
      <c r="J87" s="14">
        <v>120231</v>
      </c>
      <c r="K87" s="19">
        <v>10062.893081761</v>
      </c>
      <c r="L87" s="15" t="s">
        <v>261</v>
      </c>
      <c r="M87" s="7" t="s">
        <v>578</v>
      </c>
      <c r="N87" s="14">
        <v>318</v>
      </c>
      <c r="O87" s="15" t="s">
        <v>263</v>
      </c>
      <c r="P87" s="14">
        <v>1</v>
      </c>
      <c r="Q87" s="14">
        <v>2024</v>
      </c>
      <c r="R87" s="15" t="s">
        <v>294</v>
      </c>
      <c r="S87" s="7" t="s">
        <v>556</v>
      </c>
      <c r="T87" s="7" t="s">
        <v>557</v>
      </c>
      <c r="U87" s="115"/>
      <c r="V87" s="15"/>
      <c r="W87" s="4" t="s">
        <v>289</v>
      </c>
      <c r="X87" s="12">
        <f>0.9*$J87</f>
      </c>
      <c r="Y87" s="12">
        <f>1.5*J87</f>
      </c>
      <c r="Z87" s="4" t="s">
        <v>45</v>
      </c>
      <c r="AA87" s="13">
        <f>0.9*K87</f>
      </c>
      <c r="AB87" s="13">
        <f>1.3*K87</f>
      </c>
      <c r="AC87" s="4" t="s">
        <v>45</v>
      </c>
      <c r="AD87" s="13">
        <v>0.1</v>
      </c>
      <c r="AE87" s="11">
        <v>1</v>
      </c>
      <c r="AF87" s="11">
        <v>0</v>
      </c>
      <c r="AG87" s="4" t="s">
        <v>46</v>
      </c>
      <c r="AH87" s="61"/>
      <c r="AI87" s="61"/>
      <c r="AJ87" s="61"/>
    </row>
    <row x14ac:dyDescent="0.25" r="88" customHeight="1" ht="14.25">
      <c r="A88" s="23">
        <v>221.311</v>
      </c>
      <c r="B88" s="6">
        <v>5</v>
      </c>
      <c r="C88" s="7" t="s">
        <v>575</v>
      </c>
      <c r="D88" s="8">
        <f>REPT("   ", B88*2) &amp; C88</f>
      </c>
      <c r="E88" s="7" t="s">
        <v>35</v>
      </c>
      <c r="F88" s="7" t="s">
        <v>575</v>
      </c>
      <c r="G88" s="7" t="s">
        <v>567</v>
      </c>
      <c r="H88" s="9"/>
      <c r="I88" s="9"/>
      <c r="J88" s="14"/>
      <c r="K88" s="19">
        <f>MARVEL_Cost!C28/N81</f>
      </c>
      <c r="L88" s="15" t="s">
        <v>261</v>
      </c>
      <c r="M88" s="7" t="s">
        <v>576</v>
      </c>
      <c r="N88" s="14">
        <f>1000*'Design Variables'!B19</f>
      </c>
      <c r="O88" s="15" t="s">
        <v>263</v>
      </c>
      <c r="P88" s="14">
        <v>1</v>
      </c>
      <c r="Q88" s="14">
        <v>2024</v>
      </c>
      <c r="R88" s="15" t="s">
        <v>294</v>
      </c>
      <c r="S88" s="7" t="s">
        <v>556</v>
      </c>
      <c r="T88" s="7" t="s">
        <v>557</v>
      </c>
      <c r="U88" s="115"/>
      <c r="V88" s="15"/>
      <c r="W88" s="4" t="s">
        <v>288</v>
      </c>
      <c r="X88" s="12">
        <f>0.9*$J88</f>
      </c>
      <c r="Y88" s="12">
        <f>1.5*J88</f>
      </c>
      <c r="Z88" s="4" t="s">
        <v>45</v>
      </c>
      <c r="AA88" s="13">
        <f>0.9*K88</f>
      </c>
      <c r="AB88" s="13">
        <f>1.3*K88</f>
      </c>
      <c r="AC88" s="4" t="s">
        <v>45</v>
      </c>
      <c r="AD88" s="13">
        <v>0.1</v>
      </c>
      <c r="AE88" s="11">
        <v>1</v>
      </c>
      <c r="AF88" s="11">
        <v>0</v>
      </c>
      <c r="AG88" s="4" t="s">
        <v>46</v>
      </c>
      <c r="AH88" s="61"/>
      <c r="AI88" s="61"/>
      <c r="AJ88" s="61"/>
    </row>
    <row x14ac:dyDescent="0.25" r="89" customHeight="1" ht="14.25">
      <c r="A89" s="23">
        <v>221.312</v>
      </c>
      <c r="B89" s="6">
        <f>IF(ISNUMBER(A89),
IF(AND(A89=INT(A89), MOD(A89, 10) = 0), 0,
IF(AND(A89=INT(A89), LEN(A89)=2), 1,
IF(AND(A89=INT(A89), LEN(A89)=3), 2,
LEN(A89) - FIND(".", A89) + 2)
)
),
"")</f>
      </c>
      <c r="C89" s="7" t="s">
        <v>577</v>
      </c>
      <c r="D89" s="8">
        <f>REPT("   ", B89*2) &amp; C89</f>
      </c>
      <c r="E89" s="7" t="s">
        <v>35</v>
      </c>
      <c r="F89" s="7" t="s">
        <v>577</v>
      </c>
      <c r="G89" s="7" t="s">
        <v>567</v>
      </c>
      <c r="H89" s="9"/>
      <c r="I89" s="9"/>
      <c r="J89" s="14"/>
      <c r="K89" s="19">
        <v>44736.8421052632</v>
      </c>
      <c r="L89" s="15" t="s">
        <v>261</v>
      </c>
      <c r="M89" s="7" t="s">
        <v>578</v>
      </c>
      <c r="N89" s="14">
        <v>19</v>
      </c>
      <c r="O89" s="15" t="s">
        <v>263</v>
      </c>
      <c r="P89" s="14">
        <v>1</v>
      </c>
      <c r="Q89" s="14">
        <v>2024</v>
      </c>
      <c r="R89" s="15" t="s">
        <v>294</v>
      </c>
      <c r="S89" s="7" t="s">
        <v>556</v>
      </c>
      <c r="T89" s="7" t="s">
        <v>557</v>
      </c>
      <c r="U89" s="115"/>
      <c r="V89" s="15"/>
      <c r="W89" s="4" t="s">
        <v>288</v>
      </c>
      <c r="X89" s="12">
        <f>0.9*$J89</f>
      </c>
      <c r="Y89" s="12">
        <f>1.5*J89</f>
      </c>
      <c r="Z89" s="4" t="s">
        <v>45</v>
      </c>
      <c r="AA89" s="13">
        <f>0.9*K89</f>
      </c>
      <c r="AB89" s="13">
        <f>1.3*K89</f>
      </c>
      <c r="AC89" s="4" t="s">
        <v>45</v>
      </c>
      <c r="AD89" s="13">
        <v>0.1</v>
      </c>
      <c r="AE89" s="11">
        <v>1</v>
      </c>
      <c r="AF89" s="11">
        <v>0</v>
      </c>
      <c r="AG89" s="4" t="s">
        <v>46</v>
      </c>
      <c r="AH89" s="61"/>
      <c r="AI89" s="61"/>
      <c r="AJ89" s="61"/>
    </row>
    <row x14ac:dyDescent="0.25" r="90" customHeight="1" ht="57">
      <c r="A90" s="23">
        <v>221.311</v>
      </c>
      <c r="B90" s="6">
        <f>IF(ISNUMBER(A90),
IF(AND(A90=INT(A90), MOD(A90, 10) = 0), 0,
IF(AND(A90=INT(A90), LEN(A90)=2), 1,
IF(AND(A90=INT(A90), LEN(A90)=3), 2,
LEN(A90) - FIND(".", A90) + 2)
)
),
"")</f>
      </c>
      <c r="C90" s="7" t="s">
        <v>575</v>
      </c>
      <c r="D90" s="8">
        <f>REPT("   ", B90*2) &amp; C90</f>
      </c>
      <c r="E90" s="7" t="s">
        <v>35</v>
      </c>
      <c r="F90" s="7" t="s">
        <v>575</v>
      </c>
      <c r="G90" s="7" t="s">
        <v>568</v>
      </c>
      <c r="H90" s="9"/>
      <c r="I90" s="9"/>
      <c r="J90" s="14"/>
      <c r="K90" s="19">
        <v>80</v>
      </c>
      <c r="L90" s="15" t="s">
        <v>261</v>
      </c>
      <c r="M90" s="7" t="s">
        <v>576</v>
      </c>
      <c r="N90" s="20"/>
      <c r="O90" s="15"/>
      <c r="P90" s="20"/>
      <c r="Q90" s="14">
        <v>2022</v>
      </c>
      <c r="R90" s="15" t="s">
        <v>294</v>
      </c>
      <c r="S90" s="7" t="s">
        <v>569</v>
      </c>
      <c r="T90" s="7" t="s">
        <v>570</v>
      </c>
      <c r="U90" s="115"/>
      <c r="V90" s="15"/>
      <c r="W90" s="4" t="s">
        <v>287</v>
      </c>
      <c r="X90" s="12">
        <f>0.9*$J90</f>
      </c>
      <c r="Y90" s="12">
        <f>1.5*J90</f>
      </c>
      <c r="Z90" s="4" t="s">
        <v>45</v>
      </c>
      <c r="AA90" s="11">
        <f>0.9*K90</f>
      </c>
      <c r="AB90" s="11">
        <f>1.3*K90</f>
      </c>
      <c r="AC90" s="4" t="s">
        <v>45</v>
      </c>
      <c r="AD90" s="13">
        <v>0.1</v>
      </c>
      <c r="AE90" s="11">
        <v>1</v>
      </c>
      <c r="AF90" s="11">
        <v>0</v>
      </c>
      <c r="AG90" s="4" t="s">
        <v>46</v>
      </c>
      <c r="AH90" s="61"/>
      <c r="AI90" s="61"/>
      <c r="AJ90" s="61"/>
    </row>
    <row x14ac:dyDescent="0.25" r="91" customHeight="1" ht="57">
      <c r="A91" s="23">
        <v>221.312</v>
      </c>
      <c r="B91" s="6">
        <f>IF(ISNUMBER(A91),
IF(AND(A91=INT(A91), MOD(A91, 10) = 0), 0,
IF(AND(A91=INT(A91), LEN(A91)=2), 1,
IF(AND(A91=INT(A91), LEN(A91)=3), 2,
LEN(A91) - FIND(".", A91) + 2)
)
),
"")</f>
      </c>
      <c r="C91" s="7" t="s">
        <v>577</v>
      </c>
      <c r="D91" s="8">
        <f>REPT("   ", B91*2) &amp; C91</f>
      </c>
      <c r="E91" s="7" t="s">
        <v>35</v>
      </c>
      <c r="F91" s="7" t="s">
        <v>577</v>
      </c>
      <c r="G91" s="7" t="s">
        <v>568</v>
      </c>
      <c r="H91" s="9"/>
      <c r="I91" s="9"/>
      <c r="J91" s="14"/>
      <c r="K91" s="19">
        <v>80</v>
      </c>
      <c r="L91" s="15" t="s">
        <v>261</v>
      </c>
      <c r="M91" s="7" t="s">
        <v>578</v>
      </c>
      <c r="N91" s="20"/>
      <c r="O91" s="15"/>
      <c r="P91" s="20"/>
      <c r="Q91" s="14">
        <v>2022</v>
      </c>
      <c r="R91" s="15" t="s">
        <v>294</v>
      </c>
      <c r="S91" s="7" t="s">
        <v>569</v>
      </c>
      <c r="T91" s="7" t="s">
        <v>570</v>
      </c>
      <c r="U91" s="115"/>
      <c r="V91" s="15"/>
      <c r="W91" s="4" t="s">
        <v>287</v>
      </c>
      <c r="X91" s="12">
        <f>0.9*$J91</f>
      </c>
      <c r="Y91" s="12">
        <f>1.5*J91</f>
      </c>
      <c r="Z91" s="4" t="s">
        <v>45</v>
      </c>
      <c r="AA91" s="11">
        <f>0.9*K91</f>
      </c>
      <c r="AB91" s="11">
        <f>1.3*K91</f>
      </c>
      <c r="AC91" s="4" t="s">
        <v>45</v>
      </c>
      <c r="AD91" s="13">
        <v>0.1</v>
      </c>
      <c r="AE91" s="11">
        <v>1</v>
      </c>
      <c r="AF91" s="11">
        <v>0</v>
      </c>
      <c r="AG91" s="4" t="s">
        <v>46</v>
      </c>
      <c r="AH91" s="61"/>
      <c r="AI91" s="61"/>
      <c r="AJ91" s="61"/>
    </row>
    <row x14ac:dyDescent="0.25" r="92" customHeight="1" ht="28.5">
      <c r="A92" s="23">
        <v>221.311</v>
      </c>
      <c r="B92" s="6">
        <f>IF(ISNUMBER(A92),
IF(AND(A92=INT(A92), MOD(A92, 10) = 0), 0,
IF(AND(A92=INT(A92), LEN(A92)=2), 1,
IF(AND(A92=INT(A92), LEN(A92)=3), 2,
LEN(A92) - FIND(".", A92) + 2)
)
),
"")</f>
      </c>
      <c r="C92" s="7" t="s">
        <v>575</v>
      </c>
      <c r="D92" s="8">
        <f>REPT("   ", B92*2) &amp; C92</f>
      </c>
      <c r="E92" s="7" t="s">
        <v>35</v>
      </c>
      <c r="F92" s="7" t="s">
        <v>575</v>
      </c>
      <c r="G92" s="7" t="s">
        <v>579</v>
      </c>
      <c r="H92" s="9"/>
      <c r="I92" s="9"/>
      <c r="J92" s="14"/>
      <c r="K92" s="19">
        <v>134.1</v>
      </c>
      <c r="L92" s="15" t="s">
        <v>261</v>
      </c>
      <c r="M92" s="7" t="s">
        <v>576</v>
      </c>
      <c r="N92" s="20"/>
      <c r="O92" s="15"/>
      <c r="P92" s="20"/>
      <c r="Q92" s="14">
        <v>2017</v>
      </c>
      <c r="R92" s="15" t="s">
        <v>294</v>
      </c>
      <c r="S92" s="7" t="s">
        <v>580</v>
      </c>
      <c r="T92" s="7"/>
      <c r="U92" s="115"/>
      <c r="V92" s="15"/>
      <c r="W92" s="4" t="s">
        <v>287</v>
      </c>
      <c r="X92" s="12">
        <f>0.9*$J92</f>
      </c>
      <c r="Y92" s="12">
        <f>1.5*J92</f>
      </c>
      <c r="Z92" s="4" t="s">
        <v>45</v>
      </c>
      <c r="AA92" s="13">
        <f>0.9*K92</f>
      </c>
      <c r="AB92" s="13">
        <f>1.3*K92</f>
      </c>
      <c r="AC92" s="4" t="s">
        <v>45</v>
      </c>
      <c r="AD92" s="13">
        <v>0.1</v>
      </c>
      <c r="AE92" s="11">
        <v>1</v>
      </c>
      <c r="AF92" s="11">
        <v>0</v>
      </c>
      <c r="AG92" s="4" t="s">
        <v>46</v>
      </c>
      <c r="AH92" s="61"/>
      <c r="AI92" s="61"/>
      <c r="AJ92" s="61"/>
    </row>
    <row x14ac:dyDescent="0.25" r="93" customHeight="1" ht="15">
      <c r="A93" s="23">
        <v>221.312</v>
      </c>
      <c r="B93" s="6">
        <f>IF(ISNUMBER(A93),
IF(AND(A93=INT(A93), MOD(A93, 10) = 0), 0,
IF(AND(A93=INT(A93), LEN(A93)=2), 1,
IF(AND(A93=INT(A93), LEN(A93)=3), 2,
LEN(A93) - FIND(".", A93) + 2)
)
),
"")</f>
      </c>
      <c r="C93" s="7" t="s">
        <v>577</v>
      </c>
      <c r="D93" s="8">
        <f>REPT("   ", B93*2) &amp; C93</f>
      </c>
      <c r="E93" s="7" t="s">
        <v>35</v>
      </c>
      <c r="F93" s="7" t="s">
        <v>577</v>
      </c>
      <c r="G93" s="7" t="s">
        <v>579</v>
      </c>
      <c r="H93" s="9"/>
      <c r="I93" s="9"/>
      <c r="J93" s="14"/>
      <c r="K93" s="19">
        <v>134.1</v>
      </c>
      <c r="L93" s="15" t="s">
        <v>261</v>
      </c>
      <c r="M93" s="7" t="s">
        <v>578</v>
      </c>
      <c r="N93" s="20"/>
      <c r="O93" s="15"/>
      <c r="P93" s="20"/>
      <c r="Q93" s="14">
        <v>2017</v>
      </c>
      <c r="R93" s="15" t="s">
        <v>294</v>
      </c>
      <c r="S93" s="7" t="s">
        <v>580</v>
      </c>
      <c r="T93" s="7"/>
      <c r="U93" s="115"/>
      <c r="V93" s="15"/>
      <c r="W93" s="4" t="s">
        <v>287</v>
      </c>
      <c r="X93" s="12">
        <f>0.9*$J93</f>
      </c>
      <c r="Y93" s="12">
        <f>1.5*J93</f>
      </c>
      <c r="Z93" s="4" t="s">
        <v>45</v>
      </c>
      <c r="AA93" s="13">
        <f>0.9*K93</f>
      </c>
      <c r="AB93" s="13">
        <f>1.3*K93</f>
      </c>
      <c r="AC93" s="4" t="s">
        <v>45</v>
      </c>
      <c r="AD93" s="13">
        <v>0.1</v>
      </c>
      <c r="AE93" s="11">
        <v>1</v>
      </c>
      <c r="AF93" s="11">
        <v>0</v>
      </c>
      <c r="AG93" s="4" t="s">
        <v>46</v>
      </c>
      <c r="AH93" s="61"/>
      <c r="AI93" s="61"/>
      <c r="AJ93" s="61"/>
    </row>
    <row x14ac:dyDescent="0.25" r="94" customHeight="1" ht="15">
      <c r="A94" s="23">
        <v>221.311</v>
      </c>
      <c r="B94" s="6">
        <f>IF(ISNUMBER(A94),
IF(AND(A94=INT(A94), MOD(A94, 10) = 0), 0,
IF(AND(A94=INT(A94), LEN(A94)=2), 1,
IF(AND(A94=INT(A94), LEN(A94)=3), 2,
LEN(A94) - FIND(".", A94) + 2)
)
),
"")</f>
      </c>
      <c r="C94" s="7" t="s">
        <v>575</v>
      </c>
      <c r="D94" s="8">
        <f>REPT("   ", B94*2) &amp; C94</f>
      </c>
      <c r="E94" s="7" t="s">
        <v>35</v>
      </c>
      <c r="F94" s="7" t="s">
        <v>575</v>
      </c>
      <c r="G94" s="7" t="s">
        <v>581</v>
      </c>
      <c r="H94" s="9"/>
      <c r="I94" s="9"/>
      <c r="J94" s="14"/>
      <c r="K94" s="19">
        <v>264</v>
      </c>
      <c r="L94" s="15" t="s">
        <v>261</v>
      </c>
      <c r="M94" s="7" t="s">
        <v>576</v>
      </c>
      <c r="N94" s="20"/>
      <c r="O94" s="15"/>
      <c r="P94" s="20"/>
      <c r="Q94" s="14">
        <v>2024</v>
      </c>
      <c r="R94" s="15" t="s">
        <v>294</v>
      </c>
      <c r="S94" s="7" t="s">
        <v>582</v>
      </c>
      <c r="T94" s="7"/>
      <c r="U94" s="115"/>
      <c r="V94" s="15" t="s">
        <v>583</v>
      </c>
      <c r="W94" s="4" t="s">
        <v>287</v>
      </c>
      <c r="X94" s="12">
        <f>0.9*$J94</f>
      </c>
      <c r="Y94" s="12">
        <f>1.5*J94</f>
      </c>
      <c r="Z94" s="4" t="s">
        <v>45</v>
      </c>
      <c r="AA94" s="11">
        <v>136</v>
      </c>
      <c r="AB94" s="11">
        <v>499</v>
      </c>
      <c r="AC94" s="4" t="s">
        <v>45</v>
      </c>
      <c r="AD94" s="13">
        <v>0.1</v>
      </c>
      <c r="AE94" s="11">
        <v>1</v>
      </c>
      <c r="AF94" s="11">
        <v>0</v>
      </c>
      <c r="AG94" s="4" t="s">
        <v>46</v>
      </c>
      <c r="AH94" s="61"/>
      <c r="AI94" s="61"/>
      <c r="AJ94" s="61"/>
    </row>
    <row x14ac:dyDescent="0.25" r="95" customHeight="1" ht="30">
      <c r="A95" s="23">
        <v>221.312</v>
      </c>
      <c r="B95" s="6">
        <f>IF(ISNUMBER(A95),
IF(AND(A95=INT(A95), MOD(A95, 10) = 0), 0,
IF(AND(A95=INT(A95), LEN(A95)=2), 1,
IF(AND(A95=INT(A95), LEN(A95)=3), 2,
LEN(A95) - FIND(".", A95) + 2)
)
),
"")</f>
      </c>
      <c r="C95" s="7" t="s">
        <v>577</v>
      </c>
      <c r="D95" s="8">
        <f>REPT("   ", B95*2) &amp; C95</f>
      </c>
      <c r="E95" s="7" t="s">
        <v>35</v>
      </c>
      <c r="F95" s="7" t="s">
        <v>577</v>
      </c>
      <c r="G95" s="7" t="s">
        <v>581</v>
      </c>
      <c r="H95" s="9"/>
      <c r="I95" s="9"/>
      <c r="J95" s="14"/>
      <c r="K95" s="19">
        <v>264</v>
      </c>
      <c r="L95" s="15" t="s">
        <v>261</v>
      </c>
      <c r="M95" s="7" t="s">
        <v>578</v>
      </c>
      <c r="N95" s="20"/>
      <c r="O95" s="15"/>
      <c r="P95" s="20"/>
      <c r="Q95" s="14">
        <v>2024</v>
      </c>
      <c r="R95" s="15" t="s">
        <v>294</v>
      </c>
      <c r="S95" s="7" t="s">
        <v>582</v>
      </c>
      <c r="T95" s="7"/>
      <c r="U95" s="115"/>
      <c r="V95" s="15" t="s">
        <v>583</v>
      </c>
      <c r="W95" s="4" t="s">
        <v>287</v>
      </c>
      <c r="X95" s="12">
        <f>0.9*$J95</f>
      </c>
      <c r="Y95" s="12">
        <f>1.5*J95</f>
      </c>
      <c r="Z95" s="4" t="s">
        <v>45</v>
      </c>
      <c r="AA95" s="11">
        <v>136</v>
      </c>
      <c r="AB95" s="11">
        <v>499</v>
      </c>
      <c r="AC95" s="4" t="s">
        <v>45</v>
      </c>
      <c r="AD95" s="13">
        <v>0.1</v>
      </c>
      <c r="AE95" s="11">
        <v>1</v>
      </c>
      <c r="AF95" s="11">
        <v>0</v>
      </c>
      <c r="AG95" s="4" t="s">
        <v>46</v>
      </c>
      <c r="AH95" s="61"/>
      <c r="AI95" s="61"/>
      <c r="AJ95" s="61"/>
    </row>
    <row x14ac:dyDescent="0.25" r="96" customHeight="1" ht="30">
      <c r="A96" s="23">
        <v>221.311</v>
      </c>
      <c r="B96" s="6">
        <f>IF(ISNUMBER(A96),
IF(AND(A96=INT(A96), MOD(A96, 10) = 0), 0,
IF(AND(A96=INT(A96), LEN(A96)=2), 1,
IF(AND(A96=INT(A96), LEN(A96)=3), 2,
LEN(A96) - FIND(".", A96) + 2)
)
),
"")</f>
      </c>
      <c r="C96" s="7" t="s">
        <v>575</v>
      </c>
      <c r="D96" s="8">
        <f>REPT("   ", B96*2) &amp; C96</f>
      </c>
      <c r="E96" s="7" t="s">
        <v>35</v>
      </c>
      <c r="F96" s="7" t="s">
        <v>575</v>
      </c>
      <c r="G96" s="7" t="s">
        <v>584</v>
      </c>
      <c r="H96" s="9"/>
      <c r="I96" s="9"/>
      <c r="J96" s="14"/>
      <c r="K96" s="19">
        <v>3457</v>
      </c>
      <c r="L96" s="15" t="s">
        <v>261</v>
      </c>
      <c r="M96" s="7" t="s">
        <v>576</v>
      </c>
      <c r="N96" s="20"/>
      <c r="O96" s="15"/>
      <c r="P96" s="20"/>
      <c r="Q96" s="14">
        <v>2024</v>
      </c>
      <c r="R96" s="15" t="s">
        <v>294</v>
      </c>
      <c r="S96" s="7" t="s">
        <v>585</v>
      </c>
      <c r="T96" s="7"/>
      <c r="U96" s="115"/>
      <c r="V96" s="15" t="s">
        <v>583</v>
      </c>
      <c r="W96" s="4" t="s">
        <v>287</v>
      </c>
      <c r="X96" s="12">
        <f>0.9*$J96</f>
      </c>
      <c r="Y96" s="12">
        <f>1.5*J96</f>
      </c>
      <c r="Z96" s="4" t="s">
        <v>45</v>
      </c>
      <c r="AA96" s="11">
        <v>426</v>
      </c>
      <c r="AB96" s="11">
        <v>8525</v>
      </c>
      <c r="AC96" s="4" t="s">
        <v>45</v>
      </c>
      <c r="AD96" s="13">
        <v>0.1</v>
      </c>
      <c r="AE96" s="11">
        <v>1</v>
      </c>
      <c r="AF96" s="11">
        <v>0</v>
      </c>
      <c r="AG96" s="4" t="s">
        <v>46</v>
      </c>
      <c r="AH96" s="61"/>
      <c r="AI96" s="61"/>
      <c r="AJ96" s="61"/>
    </row>
    <row x14ac:dyDescent="0.25" r="97" customHeight="1" ht="69">
      <c r="A97" s="23">
        <v>221.312</v>
      </c>
      <c r="B97" s="6">
        <f>IF(ISNUMBER(A97),
IF(AND(A97=INT(A97), MOD(A97, 10) = 0), 0,
IF(AND(A97=INT(A97), LEN(A97)=2), 1,
IF(AND(A97=INT(A97), LEN(A97)=3), 2,
LEN(A97) - FIND(".", A97) + 2)
)
),
"")</f>
      </c>
      <c r="C97" s="7" t="s">
        <v>577</v>
      </c>
      <c r="D97" s="8">
        <f>REPT("   ", B97*2) &amp; C97</f>
      </c>
      <c r="E97" s="7" t="s">
        <v>35</v>
      </c>
      <c r="F97" s="7" t="s">
        <v>577</v>
      </c>
      <c r="G97" s="7" t="s">
        <v>584</v>
      </c>
      <c r="H97" s="9"/>
      <c r="I97" s="9"/>
      <c r="J97" s="14"/>
      <c r="K97" s="19">
        <v>3457</v>
      </c>
      <c r="L97" s="15" t="s">
        <v>261</v>
      </c>
      <c r="M97" s="7" t="s">
        <v>578</v>
      </c>
      <c r="N97" s="20"/>
      <c r="O97" s="15"/>
      <c r="P97" s="20"/>
      <c r="Q97" s="14">
        <v>2024</v>
      </c>
      <c r="R97" s="15" t="s">
        <v>294</v>
      </c>
      <c r="S97" s="7" t="s">
        <v>585</v>
      </c>
      <c r="T97" s="7"/>
      <c r="U97" s="116"/>
      <c r="V97" s="15" t="s">
        <v>583</v>
      </c>
      <c r="W97" s="4" t="s">
        <v>287</v>
      </c>
      <c r="X97" s="12">
        <f>0.9*$J97</f>
      </c>
      <c r="Y97" s="12">
        <f>1.5*J97</f>
      </c>
      <c r="Z97" s="4" t="s">
        <v>45</v>
      </c>
      <c r="AA97" s="11">
        <v>426</v>
      </c>
      <c r="AB97" s="11">
        <v>8525</v>
      </c>
      <c r="AC97" s="4" t="s">
        <v>45</v>
      </c>
      <c r="AD97" s="13">
        <v>0.1</v>
      </c>
      <c r="AE97" s="11">
        <v>1</v>
      </c>
      <c r="AF97" s="11">
        <v>0</v>
      </c>
      <c r="AG97" s="4" t="s">
        <v>46</v>
      </c>
      <c r="AH97" s="61"/>
      <c r="AI97" s="61"/>
      <c r="AJ97" s="61"/>
    </row>
    <row x14ac:dyDescent="0.25" r="98" customHeight="1" ht="69">
      <c r="A98" s="23">
        <v>221.311</v>
      </c>
      <c r="B98" s="6">
        <f>IF(ISNUMBER(A98),
IF(AND(A98=INT(A98), MOD(A98, 10) = 0), 0,
IF(AND(A98=INT(A98), LEN(A98)=2), 1,
IF(AND(A98=INT(A98), LEN(A98)=3), 2,
LEN(A98) - FIND(".", A98) + 2)
)
),
"")</f>
      </c>
      <c r="C98" s="7" t="s">
        <v>575</v>
      </c>
      <c r="D98" s="8">
        <f>REPT("   ", B98*2) &amp; C98</f>
      </c>
      <c r="E98" s="7" t="s">
        <v>35</v>
      </c>
      <c r="F98" s="7" t="s">
        <v>575</v>
      </c>
      <c r="G98" s="7" t="s">
        <v>586</v>
      </c>
      <c r="H98" s="9"/>
      <c r="I98" s="9"/>
      <c r="J98" s="14"/>
      <c r="K98" s="19">
        <v>608</v>
      </c>
      <c r="L98" s="15" t="s">
        <v>261</v>
      </c>
      <c r="M98" s="7" t="s">
        <v>576</v>
      </c>
      <c r="N98" s="20"/>
      <c r="O98" s="15"/>
      <c r="P98" s="20"/>
      <c r="Q98" s="14">
        <v>2024</v>
      </c>
      <c r="R98" s="15" t="s">
        <v>294</v>
      </c>
      <c r="S98" s="7" t="s">
        <v>587</v>
      </c>
      <c r="T98" s="7"/>
      <c r="U98" s="116"/>
      <c r="V98" s="15" t="s">
        <v>583</v>
      </c>
      <c r="W98" s="4" t="s">
        <v>287</v>
      </c>
      <c r="X98" s="12">
        <f>0.9*$J98</f>
      </c>
      <c r="Y98" s="12">
        <f>1.5*J98</f>
      </c>
      <c r="Z98" s="4" t="s">
        <v>45</v>
      </c>
      <c r="AA98" s="11">
        <v>75</v>
      </c>
      <c r="AB98" s="11">
        <v>1500</v>
      </c>
      <c r="AC98" s="4" t="s">
        <v>45</v>
      </c>
      <c r="AD98" s="13">
        <v>0.1</v>
      </c>
      <c r="AE98" s="11">
        <v>1</v>
      </c>
      <c r="AF98" s="11">
        <v>0</v>
      </c>
      <c r="AG98" s="4" t="s">
        <v>46</v>
      </c>
      <c r="AH98" s="61"/>
      <c r="AI98" s="61"/>
      <c r="AJ98" s="61"/>
    </row>
    <row x14ac:dyDescent="0.25" r="99" customHeight="1" ht="69">
      <c r="A99" s="23">
        <v>221.312</v>
      </c>
      <c r="B99" s="6">
        <f>IF(ISNUMBER(A99),
IF(AND(A99=INT(A99), MOD(A99, 10) = 0), 0,
IF(AND(A99=INT(A99), LEN(A99)=2), 1,
IF(AND(A99=INT(A99), LEN(A99)=3), 2,
LEN(A99) - FIND(".", A99) + 2)
)
),
"")</f>
      </c>
      <c r="C99" s="7" t="s">
        <v>577</v>
      </c>
      <c r="D99" s="8">
        <f>REPT("   ", B99*2) &amp; C99</f>
      </c>
      <c r="E99" s="7" t="s">
        <v>35</v>
      </c>
      <c r="F99" s="7" t="s">
        <v>577</v>
      </c>
      <c r="G99" s="7" t="s">
        <v>586</v>
      </c>
      <c r="H99" s="9"/>
      <c r="I99" s="9"/>
      <c r="J99" s="14"/>
      <c r="K99" s="19">
        <v>608</v>
      </c>
      <c r="L99" s="15" t="s">
        <v>261</v>
      </c>
      <c r="M99" s="7" t="s">
        <v>578</v>
      </c>
      <c r="N99" s="20"/>
      <c r="O99" s="15"/>
      <c r="P99" s="20"/>
      <c r="Q99" s="14">
        <v>2024</v>
      </c>
      <c r="R99" s="15" t="s">
        <v>294</v>
      </c>
      <c r="S99" s="7" t="s">
        <v>587</v>
      </c>
      <c r="T99" s="7"/>
      <c r="U99" s="116"/>
      <c r="V99" s="15" t="s">
        <v>583</v>
      </c>
      <c r="W99" s="4" t="s">
        <v>287</v>
      </c>
      <c r="X99" s="12">
        <f>0.9*$J99</f>
      </c>
      <c r="Y99" s="12">
        <f>1.5*J99</f>
      </c>
      <c r="Z99" s="4" t="s">
        <v>45</v>
      </c>
      <c r="AA99" s="11">
        <v>75</v>
      </c>
      <c r="AB99" s="11">
        <v>1500</v>
      </c>
      <c r="AC99" s="4" t="s">
        <v>45</v>
      </c>
      <c r="AD99" s="13">
        <v>0.1</v>
      </c>
      <c r="AE99" s="11">
        <v>1</v>
      </c>
      <c r="AF99" s="11">
        <v>0</v>
      </c>
      <c r="AG99" s="4" t="s">
        <v>46</v>
      </c>
      <c r="AH99" s="61"/>
      <c r="AI99" s="61"/>
      <c r="AJ99" s="61"/>
    </row>
    <row x14ac:dyDescent="0.25" r="100" customHeight="1" ht="69">
      <c r="A100" s="23">
        <v>221.32</v>
      </c>
      <c r="B100" s="6">
        <f>IF(ISNUMBER(A100),
IF(AND(A100=INT(A100), MOD(A100, 10) = 0), 0,
IF(AND(A100=INT(A100), LEN(A100)=2), 1,
IF(AND(A100=INT(A100), LEN(A100)=3), 2,
LEN(A100) - FIND(".", A100) + 2)
)
),
"")</f>
      </c>
      <c r="C100" s="7" t="s">
        <v>401</v>
      </c>
      <c r="D100" s="8">
        <f>REPT("   ", B100*2) &amp; C100</f>
      </c>
      <c r="E100" s="9"/>
      <c r="F100" s="9"/>
      <c r="G100" s="9"/>
      <c r="H100" s="9"/>
      <c r="I100" s="9"/>
      <c r="J100" s="14"/>
      <c r="K100" s="14"/>
      <c r="L100" s="15"/>
      <c r="M100" s="7"/>
      <c r="N100" s="20"/>
      <c r="O100" s="15"/>
      <c r="P100" s="20"/>
      <c r="Q100" s="14"/>
      <c r="R100" s="15"/>
      <c r="S100" s="7"/>
      <c r="T100" s="7"/>
      <c r="U100" s="116"/>
      <c r="V100" s="15"/>
      <c r="W100" s="4"/>
      <c r="X100" s="12"/>
      <c r="Y100" s="12"/>
      <c r="Z100" s="4"/>
      <c r="AA100" s="13"/>
      <c r="AB100" s="13"/>
      <c r="AC100" s="4"/>
      <c r="AD100" s="13"/>
      <c r="AE100" s="11"/>
      <c r="AF100" s="11"/>
      <c r="AG100" s="4"/>
      <c r="AH100" s="61"/>
      <c r="AI100" s="61"/>
      <c r="AJ100" s="61"/>
    </row>
    <row x14ac:dyDescent="0.25" r="101" customHeight="1" ht="69">
      <c r="A101" s="23">
        <v>221.321</v>
      </c>
      <c r="B101" s="6">
        <f>IF(ISNUMBER(A101),
IF(AND(A101=INT(A101), MOD(A101, 10) = 0), 0,
IF(AND(A101=INT(A101), LEN(A101)=2), 1,
IF(AND(A101=INT(A101), LEN(A101)=3), 2,
LEN(A101) - FIND(".", A101) + 2)
)
),
"")</f>
      </c>
      <c r="C101" s="7" t="s">
        <v>588</v>
      </c>
      <c r="D101" s="8">
        <f>REPT("   ", B101*2) &amp; C101</f>
      </c>
      <c r="E101" s="7" t="s">
        <v>35</v>
      </c>
      <c r="F101" s="7" t="s">
        <v>589</v>
      </c>
      <c r="G101" s="7" t="s">
        <v>561</v>
      </c>
      <c r="H101" s="9"/>
      <c r="I101" s="9"/>
      <c r="J101" s="14">
        <f>MARVEL_Cost!C30</f>
      </c>
      <c r="K101" s="14">
        <f>K78</f>
      </c>
      <c r="L101" s="15" t="s">
        <v>261</v>
      </c>
      <c r="M101" s="7" t="s">
        <v>590</v>
      </c>
      <c r="N101" s="14">
        <f>N78</f>
      </c>
      <c r="O101" s="15" t="s">
        <v>263</v>
      </c>
      <c r="P101" s="14">
        <v>1</v>
      </c>
      <c r="Q101" s="14">
        <v>2024</v>
      </c>
      <c r="R101" s="15" t="s">
        <v>294</v>
      </c>
      <c r="S101" s="7" t="s">
        <v>556</v>
      </c>
      <c r="T101" s="7"/>
      <c r="U101" s="116"/>
      <c r="V101" s="15"/>
      <c r="W101" s="4" t="s">
        <v>287</v>
      </c>
      <c r="X101" s="12">
        <f>0.9*$J101</f>
      </c>
      <c r="Y101" s="12">
        <f>1.5*J101</f>
      </c>
      <c r="Z101" s="4" t="s">
        <v>45</v>
      </c>
      <c r="AA101" s="13">
        <f>0.9*K101</f>
      </c>
      <c r="AB101" s="13">
        <f>1.3*K101</f>
      </c>
      <c r="AC101" s="4" t="s">
        <v>45</v>
      </c>
      <c r="AD101" s="13">
        <v>0.1</v>
      </c>
      <c r="AE101" s="11">
        <v>1</v>
      </c>
      <c r="AF101" s="11">
        <v>0</v>
      </c>
      <c r="AG101" s="4" t="s">
        <v>46</v>
      </c>
      <c r="AH101" s="61"/>
      <c r="AI101" s="61"/>
      <c r="AJ101" s="61"/>
    </row>
    <row x14ac:dyDescent="0.25" r="102" customHeight="1" ht="102">
      <c r="A102" s="23">
        <v>221.321</v>
      </c>
      <c r="B102" s="6">
        <f>IF(ISNUMBER(A102),
IF(AND(A102=INT(A102), MOD(A102, 10) = 0), 0,
IF(AND(A102=INT(A102), LEN(A102)=2), 1,
IF(AND(A102=INT(A102), LEN(A102)=3), 2,
LEN(A102) - FIND(".", A102) + 2)
)
),
"")</f>
      </c>
      <c r="C102" s="7" t="s">
        <v>588</v>
      </c>
      <c r="D102" s="8">
        <f>REPT("   ", B102*2) &amp; C102</f>
      </c>
      <c r="E102" s="7" t="s">
        <v>35</v>
      </c>
      <c r="F102" s="7" t="s">
        <v>589</v>
      </c>
      <c r="G102" s="117" t="s">
        <v>591</v>
      </c>
      <c r="H102" s="9"/>
      <c r="I102" s="9"/>
      <c r="J102" s="14"/>
      <c r="K102" s="14">
        <f>(AA102+AB102)/2</f>
      </c>
      <c r="L102" s="15" t="s">
        <v>261</v>
      </c>
      <c r="M102" s="7" t="s">
        <v>590</v>
      </c>
      <c r="N102" s="14">
        <v>1</v>
      </c>
      <c r="O102" s="15" t="s">
        <v>263</v>
      </c>
      <c r="P102" s="14">
        <v>1</v>
      </c>
      <c r="Q102" s="14">
        <v>2024</v>
      </c>
      <c r="R102" s="15" t="s">
        <v>294</v>
      </c>
      <c r="S102" s="7" t="s">
        <v>592</v>
      </c>
      <c r="T102" s="7" t="s">
        <v>593</v>
      </c>
      <c r="U102" s="118" t="s">
        <v>594</v>
      </c>
      <c r="V102" s="15" t="s">
        <v>595</v>
      </c>
      <c r="W102" s="4" t="s">
        <v>287</v>
      </c>
      <c r="X102" s="12">
        <f>0.9*$J102</f>
      </c>
      <c r="Y102" s="12">
        <f>1.5*J102</f>
      </c>
      <c r="Z102" s="4" t="s">
        <v>45</v>
      </c>
      <c r="AA102" s="119">
        <v>660</v>
      </c>
      <c r="AB102" s="119">
        <v>1578</v>
      </c>
      <c r="AC102" s="4" t="s">
        <v>45</v>
      </c>
      <c r="AD102" s="13">
        <v>0.1</v>
      </c>
      <c r="AE102" s="11">
        <v>1</v>
      </c>
      <c r="AF102" s="11">
        <v>0</v>
      </c>
      <c r="AG102" s="4" t="s">
        <v>46</v>
      </c>
      <c r="AH102" s="61"/>
      <c r="AI102" s="61"/>
      <c r="AJ102" s="61"/>
    </row>
    <row x14ac:dyDescent="0.25" r="103" customHeight="1" ht="102">
      <c r="A103" s="23">
        <v>221.321</v>
      </c>
      <c r="B103" s="6">
        <f>IF(ISNUMBER(A103),
IF(AND(A103=INT(A103), MOD(A103, 10) = 0), 0,
IF(AND(A103=INT(A103), LEN(A103)=2), 1,
IF(AND(A103=INT(A103), LEN(A103)=3), 2,
LEN(A103) - FIND(".", A103) + 2)
)
),
"")</f>
      </c>
      <c r="C103" s="7" t="s">
        <v>588</v>
      </c>
      <c r="D103" s="8">
        <f>REPT("   ", B103*2) &amp; C103</f>
      </c>
      <c r="E103" s="7" t="s">
        <v>35</v>
      </c>
      <c r="F103" s="7" t="s">
        <v>589</v>
      </c>
      <c r="G103" s="117" t="s">
        <v>596</v>
      </c>
      <c r="H103" s="9"/>
      <c r="I103" s="9"/>
      <c r="J103" s="14"/>
      <c r="K103" s="14">
        <f>(AA103+AB103)/2</f>
      </c>
      <c r="L103" s="15" t="s">
        <v>261</v>
      </c>
      <c r="M103" s="7" t="s">
        <v>590</v>
      </c>
      <c r="N103" s="14">
        <v>1</v>
      </c>
      <c r="O103" s="15" t="s">
        <v>263</v>
      </c>
      <c r="P103" s="14">
        <v>1</v>
      </c>
      <c r="Q103" s="14">
        <v>2024</v>
      </c>
      <c r="R103" s="15" t="s">
        <v>294</v>
      </c>
      <c r="S103" s="7" t="s">
        <v>592</v>
      </c>
      <c r="T103" s="7" t="s">
        <v>593</v>
      </c>
      <c r="U103" s="118" t="s">
        <v>594</v>
      </c>
      <c r="V103" s="15" t="s">
        <v>597</v>
      </c>
      <c r="W103" s="4" t="s">
        <v>287</v>
      </c>
      <c r="X103" s="12">
        <f>0.9*$J103</f>
      </c>
      <c r="Y103" s="12">
        <f>1.5*J103</f>
      </c>
      <c r="Z103" s="4" t="s">
        <v>45</v>
      </c>
      <c r="AA103" s="119">
        <v>896</v>
      </c>
      <c r="AB103" s="119">
        <v>2013</v>
      </c>
      <c r="AC103" s="4" t="s">
        <v>45</v>
      </c>
      <c r="AD103" s="13">
        <v>0.1</v>
      </c>
      <c r="AE103" s="11">
        <v>1</v>
      </c>
      <c r="AF103" s="11">
        <v>0</v>
      </c>
      <c r="AG103" s="4" t="s">
        <v>46</v>
      </c>
      <c r="AH103" s="61"/>
      <c r="AI103" s="61"/>
      <c r="AJ103" s="61"/>
    </row>
    <row x14ac:dyDescent="0.25" r="104" customHeight="1" ht="102">
      <c r="A104" s="23">
        <v>221.321</v>
      </c>
      <c r="B104" s="6">
        <f>IF(ISNUMBER(A104),
IF(AND(A104=INT(A104), MOD(A104, 10) = 0), 0,
IF(AND(A104=INT(A104), LEN(A104)=2), 1,
IF(AND(A104=INT(A104), LEN(A104)=3), 2,
LEN(A104) - FIND(".", A104) + 2)
)
),
"")</f>
      </c>
      <c r="C104" s="7" t="s">
        <v>588</v>
      </c>
      <c r="D104" s="8">
        <f>REPT("   ", B104*2) &amp; C104</f>
      </c>
      <c r="E104" s="7" t="s">
        <v>35</v>
      </c>
      <c r="F104" s="7" t="s">
        <v>589</v>
      </c>
      <c r="G104" s="117" t="s">
        <v>598</v>
      </c>
      <c r="H104" s="9"/>
      <c r="I104" s="9"/>
      <c r="J104" s="14"/>
      <c r="K104" s="14">
        <f>(AA104+AB104)/2</f>
      </c>
      <c r="L104" s="15" t="s">
        <v>261</v>
      </c>
      <c r="M104" s="7" t="s">
        <v>590</v>
      </c>
      <c r="N104" s="14">
        <v>1</v>
      </c>
      <c r="O104" s="15" t="s">
        <v>263</v>
      </c>
      <c r="P104" s="14">
        <v>1</v>
      </c>
      <c r="Q104" s="14">
        <v>2024</v>
      </c>
      <c r="R104" s="15" t="s">
        <v>294</v>
      </c>
      <c r="S104" s="7" t="s">
        <v>592</v>
      </c>
      <c r="T104" s="7" t="s">
        <v>593</v>
      </c>
      <c r="U104" s="118" t="s">
        <v>594</v>
      </c>
      <c r="V104" s="15" t="s">
        <v>599</v>
      </c>
      <c r="W104" s="4" t="s">
        <v>287</v>
      </c>
      <c r="X104" s="12">
        <f>0.9*$J104</f>
      </c>
      <c r="Y104" s="12">
        <f>1.5*J104</f>
      </c>
      <c r="Z104" s="4" t="s">
        <v>45</v>
      </c>
      <c r="AA104" s="119">
        <v>846</v>
      </c>
      <c r="AB104" s="119">
        <v>1923</v>
      </c>
      <c r="AC104" s="4" t="s">
        <v>45</v>
      </c>
      <c r="AD104" s="13">
        <v>0.1</v>
      </c>
      <c r="AE104" s="11">
        <v>1</v>
      </c>
      <c r="AF104" s="11">
        <v>0</v>
      </c>
      <c r="AG104" s="4" t="s">
        <v>46</v>
      </c>
      <c r="AH104" s="61"/>
      <c r="AI104" s="61"/>
      <c r="AJ104" s="61"/>
    </row>
    <row x14ac:dyDescent="0.25" r="105" customHeight="1" ht="102">
      <c r="A105" s="23">
        <v>221.321</v>
      </c>
      <c r="B105" s="6">
        <f>IF(ISNUMBER(A105),
IF(AND(A105=INT(A105), MOD(A105, 10) = 0), 0,
IF(AND(A105=INT(A105), LEN(A105)=2), 1,
IF(AND(A105=INT(A105), LEN(A105)=3), 2,
LEN(A105) - FIND(".", A105) + 2)
)
),
"")</f>
      </c>
      <c r="C105" s="7" t="s">
        <v>588</v>
      </c>
      <c r="D105" s="8">
        <f>REPT("   ", B105*2) &amp; C105</f>
      </c>
      <c r="E105" s="7" t="s">
        <v>35</v>
      </c>
      <c r="F105" s="7" t="s">
        <v>589</v>
      </c>
      <c r="G105" s="117" t="s">
        <v>600</v>
      </c>
      <c r="H105" s="9"/>
      <c r="I105" s="9"/>
      <c r="J105" s="14"/>
      <c r="K105" s="14">
        <f>(AA105+AB105)/2</f>
      </c>
      <c r="L105" s="15" t="s">
        <v>261</v>
      </c>
      <c r="M105" s="7" t="s">
        <v>590</v>
      </c>
      <c r="N105" s="14">
        <v>1</v>
      </c>
      <c r="O105" s="15" t="s">
        <v>263</v>
      </c>
      <c r="P105" s="14">
        <v>1</v>
      </c>
      <c r="Q105" s="14">
        <v>2024</v>
      </c>
      <c r="R105" s="15" t="s">
        <v>294</v>
      </c>
      <c r="S105" s="7" t="s">
        <v>592</v>
      </c>
      <c r="T105" s="7" t="s">
        <v>593</v>
      </c>
      <c r="U105" s="118" t="s">
        <v>594</v>
      </c>
      <c r="V105" s="15" t="s">
        <v>601</v>
      </c>
      <c r="W105" s="4" t="s">
        <v>287</v>
      </c>
      <c r="X105" s="12">
        <f>0.9*$J105</f>
      </c>
      <c r="Y105" s="12">
        <f>1.5*J105</f>
      </c>
      <c r="Z105" s="4" t="s">
        <v>45</v>
      </c>
      <c r="AA105" s="119">
        <v>1020</v>
      </c>
      <c r="AB105" s="119">
        <v>2250</v>
      </c>
      <c r="AC105" s="4" t="s">
        <v>45</v>
      </c>
      <c r="AD105" s="13">
        <v>0.1</v>
      </c>
      <c r="AE105" s="11">
        <v>1</v>
      </c>
      <c r="AF105" s="11">
        <v>0</v>
      </c>
      <c r="AG105" s="4" t="s">
        <v>46</v>
      </c>
      <c r="AH105" s="61"/>
      <c r="AI105" s="61"/>
      <c r="AJ105" s="61"/>
    </row>
    <row x14ac:dyDescent="0.25" r="106" customHeight="1" ht="102">
      <c r="A106" s="23">
        <v>221.322</v>
      </c>
      <c r="B106" s="6">
        <f>IF(ISNUMBER(A106),
IF(AND(A106=INT(A106), MOD(A106, 10) = 0), 0,
IF(AND(A106=INT(A106), LEN(A106)=2), 1,
IF(AND(A106=INT(A106), LEN(A106)=3), 2,
LEN(A106) - FIND(".", A106) + 2)
)
),
"")</f>
      </c>
      <c r="C106" s="7" t="s">
        <v>602</v>
      </c>
      <c r="D106" s="8">
        <f>REPT("   ", B106*2) &amp; C106</f>
      </c>
      <c r="E106" s="7" t="s">
        <v>35</v>
      </c>
      <c r="F106" s="7" t="s">
        <v>603</v>
      </c>
      <c r="G106" s="117" t="s">
        <v>591</v>
      </c>
      <c r="H106" s="9"/>
      <c r="I106" s="9"/>
      <c r="J106" s="14"/>
      <c r="K106" s="14">
        <f>(AA106+AB106)/2</f>
      </c>
      <c r="L106" s="15" t="s">
        <v>261</v>
      </c>
      <c r="M106" s="7" t="s">
        <v>604</v>
      </c>
      <c r="N106" s="14">
        <v>1</v>
      </c>
      <c r="O106" s="15" t="s">
        <v>263</v>
      </c>
      <c r="P106" s="14">
        <v>1</v>
      </c>
      <c r="Q106" s="14">
        <v>2024</v>
      </c>
      <c r="R106" s="15" t="s">
        <v>294</v>
      </c>
      <c r="S106" s="7" t="s">
        <v>592</v>
      </c>
      <c r="T106" s="7" t="s">
        <v>593</v>
      </c>
      <c r="U106" s="118" t="s">
        <v>594</v>
      </c>
      <c r="V106" s="15" t="s">
        <v>595</v>
      </c>
      <c r="W106" s="4" t="s">
        <v>287</v>
      </c>
      <c r="X106" s="12">
        <f>0.9*$J106</f>
      </c>
      <c r="Y106" s="12">
        <f>1.5*J106</f>
      </c>
      <c r="Z106" s="4" t="s">
        <v>45</v>
      </c>
      <c r="AA106" s="119">
        <v>660</v>
      </c>
      <c r="AB106" s="119">
        <v>1578</v>
      </c>
      <c r="AC106" s="4" t="s">
        <v>45</v>
      </c>
      <c r="AD106" s="13">
        <v>0.1</v>
      </c>
      <c r="AE106" s="11">
        <v>1</v>
      </c>
      <c r="AF106" s="11">
        <v>0</v>
      </c>
      <c r="AG106" s="4" t="s">
        <v>46</v>
      </c>
      <c r="AH106" s="61"/>
      <c r="AI106" s="61"/>
      <c r="AJ106" s="61"/>
    </row>
    <row x14ac:dyDescent="0.25" r="107" customHeight="1" ht="102">
      <c r="A107" s="23">
        <v>221.322</v>
      </c>
      <c r="B107" s="6">
        <f>IF(ISNUMBER(A107),
IF(AND(A107=INT(A107), MOD(A107, 10) = 0), 0,
IF(AND(A107=INT(A107), LEN(A107)=2), 1,
IF(AND(A107=INT(A107), LEN(A107)=3), 2,
LEN(A107) - FIND(".", A107) + 2)
)
),
"")</f>
      </c>
      <c r="C107" s="7" t="s">
        <v>602</v>
      </c>
      <c r="D107" s="8">
        <f>REPT("   ", B107*2) &amp; C107</f>
      </c>
      <c r="E107" s="7" t="s">
        <v>35</v>
      </c>
      <c r="F107" s="7" t="s">
        <v>603</v>
      </c>
      <c r="G107" s="117" t="s">
        <v>596</v>
      </c>
      <c r="H107" s="9"/>
      <c r="I107" s="9"/>
      <c r="J107" s="14"/>
      <c r="K107" s="14">
        <f>(AA107+AB107)/2</f>
      </c>
      <c r="L107" s="15" t="s">
        <v>261</v>
      </c>
      <c r="M107" s="7" t="s">
        <v>604</v>
      </c>
      <c r="N107" s="14">
        <v>1</v>
      </c>
      <c r="O107" s="15" t="s">
        <v>263</v>
      </c>
      <c r="P107" s="14">
        <v>1</v>
      </c>
      <c r="Q107" s="14">
        <v>2024</v>
      </c>
      <c r="R107" s="15" t="s">
        <v>294</v>
      </c>
      <c r="S107" s="7" t="s">
        <v>592</v>
      </c>
      <c r="T107" s="7" t="s">
        <v>593</v>
      </c>
      <c r="U107" s="118" t="s">
        <v>594</v>
      </c>
      <c r="V107" s="15" t="s">
        <v>597</v>
      </c>
      <c r="W107" s="4" t="s">
        <v>287</v>
      </c>
      <c r="X107" s="12">
        <f>0.9*$J107</f>
      </c>
      <c r="Y107" s="12">
        <f>1.5*J107</f>
      </c>
      <c r="Z107" s="4" t="s">
        <v>45</v>
      </c>
      <c r="AA107" s="119">
        <v>896</v>
      </c>
      <c r="AB107" s="119">
        <v>2013</v>
      </c>
      <c r="AC107" s="4" t="s">
        <v>45</v>
      </c>
      <c r="AD107" s="13">
        <v>0.1</v>
      </c>
      <c r="AE107" s="11">
        <v>1</v>
      </c>
      <c r="AF107" s="11">
        <v>0</v>
      </c>
      <c r="AG107" s="4" t="s">
        <v>46</v>
      </c>
      <c r="AH107" s="61"/>
      <c r="AI107" s="61"/>
      <c r="AJ107" s="61"/>
    </row>
    <row x14ac:dyDescent="0.25" r="108" customHeight="1" ht="102">
      <c r="A108" s="23">
        <v>221.322</v>
      </c>
      <c r="B108" s="6">
        <f>IF(ISNUMBER(A108),
IF(AND(A108=INT(A108), MOD(A108, 10) = 0), 0,
IF(AND(A108=INT(A108), LEN(A108)=2), 1,
IF(AND(A108=INT(A108), LEN(A108)=3), 2,
LEN(A108) - FIND(".", A108) + 2)
)
),
"")</f>
      </c>
      <c r="C108" s="7" t="s">
        <v>602</v>
      </c>
      <c r="D108" s="8">
        <f>REPT("   ", B108*2) &amp; C108</f>
      </c>
      <c r="E108" s="7" t="s">
        <v>35</v>
      </c>
      <c r="F108" s="7" t="s">
        <v>603</v>
      </c>
      <c r="G108" s="117" t="s">
        <v>598</v>
      </c>
      <c r="H108" s="9"/>
      <c r="I108" s="9"/>
      <c r="J108" s="14"/>
      <c r="K108" s="14">
        <f>(AA108+AB108)/2</f>
      </c>
      <c r="L108" s="15" t="s">
        <v>261</v>
      </c>
      <c r="M108" s="7" t="s">
        <v>604</v>
      </c>
      <c r="N108" s="14">
        <v>1</v>
      </c>
      <c r="O108" s="15" t="s">
        <v>263</v>
      </c>
      <c r="P108" s="14">
        <v>1</v>
      </c>
      <c r="Q108" s="14">
        <v>2024</v>
      </c>
      <c r="R108" s="15" t="s">
        <v>294</v>
      </c>
      <c r="S108" s="7" t="s">
        <v>592</v>
      </c>
      <c r="T108" s="7" t="s">
        <v>593</v>
      </c>
      <c r="U108" s="118" t="s">
        <v>594</v>
      </c>
      <c r="V108" s="15" t="s">
        <v>599</v>
      </c>
      <c r="W108" s="4" t="s">
        <v>287</v>
      </c>
      <c r="X108" s="12">
        <f>0.9*$J108</f>
      </c>
      <c r="Y108" s="12">
        <f>1.5*J108</f>
      </c>
      <c r="Z108" s="4" t="s">
        <v>45</v>
      </c>
      <c r="AA108" s="119">
        <v>846</v>
      </c>
      <c r="AB108" s="119">
        <v>1923</v>
      </c>
      <c r="AC108" s="4" t="s">
        <v>45</v>
      </c>
      <c r="AD108" s="13">
        <v>0.1</v>
      </c>
      <c r="AE108" s="11">
        <v>1</v>
      </c>
      <c r="AF108" s="11">
        <v>0</v>
      </c>
      <c r="AG108" s="4" t="s">
        <v>46</v>
      </c>
      <c r="AH108" s="61"/>
      <c r="AI108" s="61"/>
      <c r="AJ108" s="61"/>
    </row>
    <row x14ac:dyDescent="0.25" r="109" customHeight="1" ht="102">
      <c r="A109" s="23">
        <v>221.322</v>
      </c>
      <c r="B109" s="6">
        <f>IF(ISNUMBER(A109),
IF(AND(A109=INT(A109), MOD(A109, 10) = 0), 0,
IF(AND(A109=INT(A109), LEN(A109)=2), 1,
IF(AND(A109=INT(A109), LEN(A109)=3), 2,
LEN(A109) - FIND(".", A109) + 2)
)
),
"")</f>
      </c>
      <c r="C109" s="7" t="s">
        <v>602</v>
      </c>
      <c r="D109" s="8">
        <f>REPT("   ", B109*2) &amp; C109</f>
      </c>
      <c r="E109" s="7" t="s">
        <v>35</v>
      </c>
      <c r="F109" s="7" t="s">
        <v>603</v>
      </c>
      <c r="G109" s="117" t="s">
        <v>600</v>
      </c>
      <c r="H109" s="9"/>
      <c r="I109" s="9"/>
      <c r="J109" s="14"/>
      <c r="K109" s="14">
        <f>(AA109+AB109)/2</f>
      </c>
      <c r="L109" s="15" t="s">
        <v>261</v>
      </c>
      <c r="M109" s="7" t="s">
        <v>604</v>
      </c>
      <c r="N109" s="14">
        <v>1</v>
      </c>
      <c r="O109" s="15" t="s">
        <v>263</v>
      </c>
      <c r="P109" s="14">
        <v>1</v>
      </c>
      <c r="Q109" s="14">
        <v>2024</v>
      </c>
      <c r="R109" s="15" t="s">
        <v>294</v>
      </c>
      <c r="S109" s="7" t="s">
        <v>592</v>
      </c>
      <c r="T109" s="7" t="s">
        <v>593</v>
      </c>
      <c r="U109" s="118" t="s">
        <v>594</v>
      </c>
      <c r="V109" s="15" t="s">
        <v>601</v>
      </c>
      <c r="W109" s="4" t="s">
        <v>287</v>
      </c>
      <c r="X109" s="12">
        <f>0.9*$J109</f>
      </c>
      <c r="Y109" s="12">
        <f>1.5*J109</f>
      </c>
      <c r="Z109" s="4" t="s">
        <v>45</v>
      </c>
      <c r="AA109" s="119">
        <v>1020</v>
      </c>
      <c r="AB109" s="119">
        <v>2250</v>
      </c>
      <c r="AC109" s="4" t="s">
        <v>45</v>
      </c>
      <c r="AD109" s="13">
        <v>0.1</v>
      </c>
      <c r="AE109" s="11">
        <v>1</v>
      </c>
      <c r="AF109" s="11">
        <v>0</v>
      </c>
      <c r="AG109" s="4" t="s">
        <v>46</v>
      </c>
      <c r="AH109" s="61"/>
      <c r="AI109" s="61"/>
      <c r="AJ109" s="61"/>
    </row>
    <row x14ac:dyDescent="0.25" r="110" customHeight="1" ht="69">
      <c r="A110" s="23">
        <v>221.322</v>
      </c>
      <c r="B110" s="6">
        <f>IF(ISNUMBER(A110),
IF(AND(A110=INT(A110), MOD(A110, 10) = 0), 0,
IF(AND(A110=INT(A110), LEN(A110)=2), 1,
IF(AND(A110=INT(A110), LEN(A110)=3), 2,
LEN(A110) - FIND(".", A110) + 2)
)
),
"")</f>
      </c>
      <c r="C110" s="7" t="s">
        <v>602</v>
      </c>
      <c r="D110" s="8">
        <f>REPT("   ", B110*2) &amp; C110</f>
      </c>
      <c r="E110" s="7" t="s">
        <v>35</v>
      </c>
      <c r="F110" s="7" t="s">
        <v>603</v>
      </c>
      <c r="G110" s="7" t="s">
        <v>605</v>
      </c>
      <c r="H110" s="9"/>
      <c r="I110" s="9"/>
      <c r="J110" s="14"/>
      <c r="K110" s="14">
        <v>20</v>
      </c>
      <c r="L110" s="15" t="s">
        <v>261</v>
      </c>
      <c r="M110" s="7" t="s">
        <v>604</v>
      </c>
      <c r="N110" s="39">
        <f>'Design Variables'!B43</f>
      </c>
      <c r="O110" s="15" t="s">
        <v>263</v>
      </c>
      <c r="P110" s="14">
        <v>1</v>
      </c>
      <c r="Q110" s="14">
        <v>2024</v>
      </c>
      <c r="R110" s="15" t="s">
        <v>294</v>
      </c>
      <c r="S110" s="7" t="s">
        <v>556</v>
      </c>
      <c r="T110" s="7"/>
      <c r="U110" s="118"/>
      <c r="V110" s="15"/>
      <c r="W110" s="4" t="s">
        <v>287</v>
      </c>
      <c r="X110" s="12">
        <f>0.9*$J110</f>
      </c>
      <c r="Y110" s="12">
        <f>1.5*J110</f>
      </c>
      <c r="Z110" s="4" t="s">
        <v>45</v>
      </c>
      <c r="AA110" s="11">
        <f>0.9*K110</f>
      </c>
      <c r="AB110" s="11">
        <f>1.3*K110</f>
      </c>
      <c r="AC110" s="4" t="s">
        <v>45</v>
      </c>
      <c r="AD110" s="13">
        <v>0.1</v>
      </c>
      <c r="AE110" s="11">
        <v>1</v>
      </c>
      <c r="AF110" s="11">
        <v>0</v>
      </c>
      <c r="AG110" s="4" t="s">
        <v>46</v>
      </c>
      <c r="AH110" s="61"/>
      <c r="AI110" s="61"/>
      <c r="AJ110" s="61"/>
    </row>
    <row x14ac:dyDescent="0.25" r="111" customHeight="1" ht="69">
      <c r="A111" s="23">
        <v>221.322</v>
      </c>
      <c r="B111" s="6">
        <f>IF(ISNUMBER(A111),
IF(AND(A111=INT(A111), MOD(A111, 10) = 0), 0,
IF(AND(A111=INT(A111), LEN(A111)=2), 1,
IF(AND(A111=INT(A111), LEN(A111)=3), 2,
LEN(A111) - FIND(".", A111) + 2)
)
),
"")</f>
      </c>
      <c r="C111" s="7" t="s">
        <v>602</v>
      </c>
      <c r="D111" s="8">
        <f>REPT("   ", B111*2) &amp; C111</f>
      </c>
      <c r="E111" s="7" t="s">
        <v>35</v>
      </c>
      <c r="F111" s="7" t="s">
        <v>603</v>
      </c>
      <c r="G111" s="7" t="s">
        <v>561</v>
      </c>
      <c r="H111" s="9"/>
      <c r="I111" s="9"/>
      <c r="J111" s="14"/>
      <c r="K111" s="14">
        <f>K78</f>
      </c>
      <c r="L111" s="15" t="s">
        <v>261</v>
      </c>
      <c r="M111" s="7" t="s">
        <v>604</v>
      </c>
      <c r="N111" s="14">
        <f>N78</f>
      </c>
      <c r="O111" s="15" t="s">
        <v>263</v>
      </c>
      <c r="P111" s="14">
        <v>1</v>
      </c>
      <c r="Q111" s="14">
        <v>2024</v>
      </c>
      <c r="R111" s="15" t="s">
        <v>294</v>
      </c>
      <c r="S111" s="7" t="s">
        <v>556</v>
      </c>
      <c r="T111" s="7"/>
      <c r="U111" s="118"/>
      <c r="V111" s="15" t="s">
        <v>606</v>
      </c>
      <c r="W111" s="4" t="s">
        <v>287</v>
      </c>
      <c r="X111" s="12">
        <f>0.9*$J101</f>
      </c>
      <c r="Y111" s="12">
        <f>1.5*J101</f>
      </c>
      <c r="Z111" s="4" t="s">
        <v>45</v>
      </c>
      <c r="AA111" s="13">
        <f>0.9*K101</f>
      </c>
      <c r="AB111" s="13">
        <f>1.3*K101</f>
      </c>
      <c r="AC111" s="4" t="s">
        <v>45</v>
      </c>
      <c r="AD111" s="13">
        <v>0.1</v>
      </c>
      <c r="AE111" s="11">
        <v>1</v>
      </c>
      <c r="AF111" s="11">
        <v>0</v>
      </c>
      <c r="AG111" s="4" t="s">
        <v>46</v>
      </c>
      <c r="AH111" s="61"/>
      <c r="AI111" s="61"/>
      <c r="AJ111" s="61"/>
    </row>
    <row x14ac:dyDescent="0.25" r="112" customHeight="1" ht="30">
      <c r="A112" s="23">
        <v>221.323</v>
      </c>
      <c r="B112" s="6">
        <f>IF(ISNUMBER(A112),
IF(AND(A112=INT(A112), MOD(A112, 10) = 0), 0,
IF(AND(A112=INT(A112), LEN(A112)=2), 1,
IF(AND(A112=INT(A112), LEN(A112)=3), 2,
LEN(A112) - FIND(".", A112) + 2)
)
),
"")</f>
      </c>
      <c r="C112" s="7" t="s">
        <v>607</v>
      </c>
      <c r="D112" s="8">
        <f>REPT("   ", B112*2) &amp; C112</f>
      </c>
      <c r="E112" s="7" t="s">
        <v>35</v>
      </c>
      <c r="F112" s="7" t="s">
        <v>608</v>
      </c>
      <c r="G112" s="7" t="s">
        <v>609</v>
      </c>
      <c r="H112" s="7" t="s">
        <v>610</v>
      </c>
      <c r="I112" s="9">
        <f>TRUE()</f>
      </c>
      <c r="J112" s="14"/>
      <c r="K112" s="14">
        <v>154.08</v>
      </c>
      <c r="L112" s="15" t="s">
        <v>261</v>
      </c>
      <c r="M112" s="7" t="s">
        <v>611</v>
      </c>
      <c r="N112" s="20"/>
      <c r="O112" s="15" t="s">
        <v>263</v>
      </c>
      <c r="P112" s="14">
        <v>1</v>
      </c>
      <c r="Q112" s="14">
        <v>2017</v>
      </c>
      <c r="R112" s="15" t="s">
        <v>294</v>
      </c>
      <c r="S112" s="7" t="s">
        <v>612</v>
      </c>
      <c r="T112" s="7"/>
      <c r="U112" s="118"/>
      <c r="V112" s="15" t="s">
        <v>613</v>
      </c>
      <c r="W112" s="4" t="s">
        <v>287</v>
      </c>
      <c r="X112" s="12">
        <f>0.9*$J112</f>
      </c>
      <c r="Y112" s="12">
        <f>1.5*J112</f>
      </c>
      <c r="Z112" s="4" t="s">
        <v>45</v>
      </c>
      <c r="AA112" s="13">
        <f>0.9*K112</f>
      </c>
      <c r="AB112" s="13">
        <f>1.3*K112</f>
      </c>
      <c r="AC112" s="4" t="s">
        <v>45</v>
      </c>
      <c r="AD112" s="13">
        <v>0.1</v>
      </c>
      <c r="AE112" s="11">
        <v>1</v>
      </c>
      <c r="AF112" s="11">
        <v>0</v>
      </c>
      <c r="AG112" s="4" t="s">
        <v>46</v>
      </c>
      <c r="AH112" s="61"/>
      <c r="AI112" s="61"/>
      <c r="AJ112" s="61"/>
    </row>
    <row x14ac:dyDescent="0.25" r="113" customHeight="1" ht="15">
      <c r="A113" s="120">
        <v>221.33</v>
      </c>
      <c r="B113" s="121">
        <f>IF(ISNUMBER(A113),
IF(AND(A113=INT(A113), MOD(A113, 10) = 0), 0,
IF(AND(A113=INT(A113), LEN(A113)=2), 1,
IF(AND(A113=INT(A113), LEN(A113)=3), 2,
LEN(A113) - FIND(".", A113) + 2)
)
),
"")</f>
      </c>
      <c r="C113" s="7" t="s">
        <v>402</v>
      </c>
      <c r="D113" s="8">
        <f>REPT("   ", B113*2) &amp; C113</f>
      </c>
      <c r="E113" s="7" t="s">
        <v>35</v>
      </c>
      <c r="F113" s="7" t="s">
        <v>402</v>
      </c>
      <c r="G113" s="7" t="s">
        <v>568</v>
      </c>
      <c r="H113" s="122"/>
      <c r="I113" s="122"/>
      <c r="J113" s="103"/>
      <c r="K113" s="14">
        <v>80</v>
      </c>
      <c r="L113" s="15" t="s">
        <v>261</v>
      </c>
      <c r="M113" s="7" t="s">
        <v>614</v>
      </c>
      <c r="N113" s="123"/>
      <c r="O113" s="15" t="s">
        <v>263</v>
      </c>
      <c r="P113" s="123"/>
      <c r="Q113" s="14">
        <v>2022</v>
      </c>
      <c r="R113" s="15" t="s">
        <v>294</v>
      </c>
      <c r="S113" s="7" t="s">
        <v>569</v>
      </c>
      <c r="T113" s="41" t="s">
        <v>570</v>
      </c>
      <c r="U113" s="61"/>
      <c r="V113" s="61"/>
      <c r="W113" s="4" t="s">
        <v>287</v>
      </c>
      <c r="X113" s="124"/>
      <c r="Y113" s="124"/>
      <c r="Z113" s="4" t="s">
        <v>45</v>
      </c>
      <c r="AA113" s="11">
        <f>0.9*K113</f>
      </c>
      <c r="AB113" s="11">
        <f>1.3*K113</f>
      </c>
      <c r="AC113" s="4" t="s">
        <v>45</v>
      </c>
      <c r="AD113" s="13">
        <v>0.1</v>
      </c>
      <c r="AE113" s="11">
        <v>1</v>
      </c>
      <c r="AF113" s="11">
        <v>0</v>
      </c>
      <c r="AG113" s="4" t="s">
        <v>46</v>
      </c>
      <c r="AH113" s="61"/>
      <c r="AI113" s="61"/>
      <c r="AJ113" s="61"/>
    </row>
    <row x14ac:dyDescent="0.25" r="114" customHeight="1" ht="60.75">
      <c r="A114" s="120">
        <v>221.33</v>
      </c>
      <c r="B114" s="121">
        <v>4</v>
      </c>
      <c r="C114" s="7" t="s">
        <v>402</v>
      </c>
      <c r="D114" s="8">
        <f>REPT("   ", B114*2) &amp; C114</f>
      </c>
      <c r="E114" s="7" t="s">
        <v>35</v>
      </c>
      <c r="F114" s="7" t="s">
        <v>402</v>
      </c>
      <c r="G114" s="7" t="s">
        <v>615</v>
      </c>
      <c r="H114" s="122"/>
      <c r="I114" s="122"/>
      <c r="J114" s="103"/>
      <c r="K114" s="14">
        <f>2*K113</f>
      </c>
      <c r="L114" s="15" t="s">
        <v>261</v>
      </c>
      <c r="M114" s="7" t="s">
        <v>614</v>
      </c>
      <c r="N114" s="123"/>
      <c r="O114" s="15" t="s">
        <v>263</v>
      </c>
      <c r="P114" s="123"/>
      <c r="Q114" s="14">
        <v>2022</v>
      </c>
      <c r="R114" s="15" t="s">
        <v>294</v>
      </c>
      <c r="S114" s="7" t="s">
        <v>616</v>
      </c>
      <c r="T114" s="40"/>
      <c r="U114" s="125"/>
      <c r="V114" s="125"/>
      <c r="W114" s="4" t="s">
        <v>287</v>
      </c>
      <c r="X114" s="124"/>
      <c r="Y114" s="124"/>
      <c r="Z114" s="4" t="s">
        <v>45</v>
      </c>
      <c r="AA114" s="11">
        <f>0.9*K114</f>
      </c>
      <c r="AB114" s="11">
        <f>1.3*K114</f>
      </c>
      <c r="AC114" s="4" t="s">
        <v>45</v>
      </c>
      <c r="AD114" s="13">
        <v>0.1</v>
      </c>
      <c r="AE114" s="11">
        <v>1</v>
      </c>
      <c r="AF114" s="11">
        <v>0</v>
      </c>
      <c r="AG114" s="4" t="s">
        <v>46</v>
      </c>
      <c r="AH114" s="61"/>
      <c r="AI114" s="61"/>
      <c r="AJ114" s="61"/>
    </row>
    <row x14ac:dyDescent="0.25" r="115" customHeight="1" ht="28.5">
      <c r="A115" s="120">
        <v>221.33</v>
      </c>
      <c r="B115" s="121">
        <v>4</v>
      </c>
      <c r="C115" s="7" t="s">
        <v>402</v>
      </c>
      <c r="D115" s="8">
        <f>REPT("   ", B115*2) &amp; C115</f>
      </c>
      <c r="E115" s="7" t="s">
        <v>35</v>
      </c>
      <c r="F115" s="7" t="s">
        <v>402</v>
      </c>
      <c r="G115" s="7" t="s">
        <v>617</v>
      </c>
      <c r="H115" s="122"/>
      <c r="I115" s="122"/>
      <c r="J115" s="103"/>
      <c r="K115" s="14">
        <v>1520</v>
      </c>
      <c r="L115" s="15" t="s">
        <v>261</v>
      </c>
      <c r="M115" s="7" t="s">
        <v>614</v>
      </c>
      <c r="N115" s="123"/>
      <c r="O115" s="15" t="s">
        <v>263</v>
      </c>
      <c r="P115" s="123"/>
      <c r="Q115" s="14">
        <v>2017</v>
      </c>
      <c r="R115" s="15" t="s">
        <v>294</v>
      </c>
      <c r="S115" s="7" t="s">
        <v>618</v>
      </c>
      <c r="T115" s="41"/>
      <c r="U115" s="68"/>
      <c r="V115" s="68"/>
      <c r="W115" s="4" t="s">
        <v>287</v>
      </c>
      <c r="X115" s="124"/>
      <c r="Y115" s="124"/>
      <c r="Z115" s="4" t="s">
        <v>45</v>
      </c>
      <c r="AA115" s="11">
        <f>0.9*K115</f>
      </c>
      <c r="AB115" s="11">
        <f>1.3*K115</f>
      </c>
      <c r="AC115" s="4" t="s">
        <v>45</v>
      </c>
      <c r="AD115" s="13">
        <v>0.1</v>
      </c>
      <c r="AE115" s="11">
        <v>1</v>
      </c>
      <c r="AF115" s="11">
        <v>0</v>
      </c>
      <c r="AG115" s="4" t="s">
        <v>46</v>
      </c>
      <c r="AH115" s="61"/>
      <c r="AI115" s="61"/>
      <c r="AJ115" s="61"/>
    </row>
    <row x14ac:dyDescent="0.25" r="116" customHeight="1" ht="99">
      <c r="A116" s="120">
        <v>221.33</v>
      </c>
      <c r="B116" s="121">
        <v>4</v>
      </c>
      <c r="C116" s="7" t="s">
        <v>402</v>
      </c>
      <c r="D116" s="8">
        <f>REPT("   ", B116*2) &amp; C116</f>
      </c>
      <c r="E116" s="7" t="s">
        <v>35</v>
      </c>
      <c r="F116" s="7" t="s">
        <v>402</v>
      </c>
      <c r="G116" s="7" t="s">
        <v>619</v>
      </c>
      <c r="H116" s="122"/>
      <c r="I116" s="122"/>
      <c r="J116" s="103"/>
      <c r="K116" s="14">
        <v>1520</v>
      </c>
      <c r="L116" s="15" t="s">
        <v>261</v>
      </c>
      <c r="M116" s="7" t="s">
        <v>614</v>
      </c>
      <c r="N116" s="123"/>
      <c r="O116" s="15" t="s">
        <v>263</v>
      </c>
      <c r="P116" s="123"/>
      <c r="Q116" s="14">
        <v>2017</v>
      </c>
      <c r="R116" s="15" t="s">
        <v>294</v>
      </c>
      <c r="S116" s="7"/>
      <c r="T116" s="118"/>
      <c r="U116" s="61"/>
      <c r="V116" s="61"/>
      <c r="W116" s="4" t="s">
        <v>287</v>
      </c>
      <c r="X116" s="124"/>
      <c r="Y116" s="124"/>
      <c r="Z116" s="4" t="s">
        <v>45</v>
      </c>
      <c r="AA116" s="11">
        <f>0.9*K116</f>
      </c>
      <c r="AB116" s="11">
        <f>1.3*K116</f>
      </c>
      <c r="AC116" s="4" t="s">
        <v>45</v>
      </c>
      <c r="AD116" s="13">
        <v>0.1</v>
      </c>
      <c r="AE116" s="11">
        <v>1</v>
      </c>
      <c r="AF116" s="11">
        <v>0</v>
      </c>
      <c r="AG116" s="4" t="s">
        <v>46</v>
      </c>
      <c r="AH116" s="61"/>
      <c r="AI116" s="61"/>
      <c r="AJ116" s="61"/>
    </row>
    <row x14ac:dyDescent="0.25" r="117" customHeight="1" ht="30">
      <c r="A117" s="120">
        <v>221.34</v>
      </c>
      <c r="B117" s="121">
        <v>4</v>
      </c>
      <c r="C117" s="7" t="s">
        <v>620</v>
      </c>
      <c r="D117" s="8">
        <f>REPT("   ", B117*2) &amp; C117</f>
      </c>
      <c r="E117" s="7" t="s">
        <v>35</v>
      </c>
      <c r="F117" s="7" t="s">
        <v>621</v>
      </c>
      <c r="G117" s="7" t="s">
        <v>568</v>
      </c>
      <c r="H117" s="122"/>
      <c r="I117" s="122"/>
      <c r="J117" s="103"/>
      <c r="K117" s="14">
        <v>80</v>
      </c>
      <c r="L117" s="15" t="s">
        <v>261</v>
      </c>
      <c r="M117" s="7" t="s">
        <v>622</v>
      </c>
      <c r="N117" s="123"/>
      <c r="O117" s="15" t="s">
        <v>263</v>
      </c>
      <c r="P117" s="123"/>
      <c r="Q117" s="14">
        <v>2022</v>
      </c>
      <c r="R117" s="15" t="s">
        <v>294</v>
      </c>
      <c r="S117" s="7" t="s">
        <v>569</v>
      </c>
      <c r="T117" s="41" t="s">
        <v>570</v>
      </c>
      <c r="U117" s="61"/>
      <c r="V117" s="61"/>
      <c r="W117" s="4" t="s">
        <v>287</v>
      </c>
      <c r="X117" s="124"/>
      <c r="Y117" s="124"/>
      <c r="Z117" s="4" t="s">
        <v>45</v>
      </c>
      <c r="AA117" s="11">
        <f>0.9*K117</f>
      </c>
      <c r="AB117" s="11">
        <f>1.3*K117</f>
      </c>
      <c r="AC117" s="4" t="s">
        <v>45</v>
      </c>
      <c r="AD117" s="13">
        <v>0.1</v>
      </c>
      <c r="AE117" s="11">
        <v>1</v>
      </c>
      <c r="AF117" s="11">
        <v>0</v>
      </c>
      <c r="AG117" s="4" t="s">
        <v>46</v>
      </c>
      <c r="AH117" s="61"/>
      <c r="AI117" s="61"/>
      <c r="AJ117" s="61"/>
    </row>
    <row x14ac:dyDescent="0.25" r="118" customHeight="1" ht="30">
      <c r="A118" s="120">
        <v>221.34</v>
      </c>
      <c r="B118" s="121">
        <v>4</v>
      </c>
      <c r="C118" s="7" t="s">
        <v>620</v>
      </c>
      <c r="D118" s="8">
        <f>REPT("   ", B118*2) &amp; C118</f>
      </c>
      <c r="E118" s="7" t="s">
        <v>35</v>
      </c>
      <c r="F118" s="7" t="s">
        <v>621</v>
      </c>
      <c r="G118" s="7" t="s">
        <v>619</v>
      </c>
      <c r="H118" s="122"/>
      <c r="I118" s="122"/>
      <c r="J118" s="103"/>
      <c r="K118" s="14">
        <v>1520</v>
      </c>
      <c r="L118" s="15" t="s">
        <v>261</v>
      </c>
      <c r="M118" s="7" t="s">
        <v>622</v>
      </c>
      <c r="N118" s="123"/>
      <c r="O118" s="15" t="s">
        <v>263</v>
      </c>
      <c r="P118" s="123"/>
      <c r="Q118" s="14">
        <v>2017</v>
      </c>
      <c r="R118" s="15" t="s">
        <v>294</v>
      </c>
      <c r="S118" s="7"/>
      <c r="T118" s="41" t="s">
        <v>623</v>
      </c>
      <c r="U118" s="61"/>
      <c r="V118" s="61"/>
      <c r="W118" s="4" t="s">
        <v>287</v>
      </c>
      <c r="X118" s="124"/>
      <c r="Y118" s="124"/>
      <c r="Z118" s="4" t="s">
        <v>45</v>
      </c>
      <c r="AA118" s="11">
        <f>0.9*K118</f>
      </c>
      <c r="AB118" s="11">
        <f>1.3*K118</f>
      </c>
      <c r="AC118" s="4" t="s">
        <v>45</v>
      </c>
      <c r="AD118" s="13">
        <v>0.1</v>
      </c>
      <c r="AE118" s="11">
        <v>1</v>
      </c>
      <c r="AF118" s="11">
        <v>0</v>
      </c>
      <c r="AG118" s="4" t="s">
        <v>46</v>
      </c>
      <c r="AH118" s="61"/>
      <c r="AI118" s="61"/>
      <c r="AJ118" s="61"/>
    </row>
    <row x14ac:dyDescent="0.25" r="119" customHeight="1" ht="30">
      <c r="A119" s="120">
        <v>221.34</v>
      </c>
      <c r="B119" s="121">
        <v>4</v>
      </c>
      <c r="C119" s="7" t="s">
        <v>620</v>
      </c>
      <c r="D119" s="8">
        <f>REPT("   ", B119*2) &amp; C119</f>
      </c>
      <c r="E119" s="7" t="s">
        <v>35</v>
      </c>
      <c r="F119" s="7" t="s">
        <v>621</v>
      </c>
      <c r="G119" s="7" t="s">
        <v>617</v>
      </c>
      <c r="H119" s="122"/>
      <c r="I119" s="122"/>
      <c r="J119" s="103"/>
      <c r="K119" s="14">
        <v>1520</v>
      </c>
      <c r="L119" s="15" t="s">
        <v>261</v>
      </c>
      <c r="M119" s="7" t="s">
        <v>622</v>
      </c>
      <c r="N119" s="123"/>
      <c r="O119" s="15" t="s">
        <v>263</v>
      </c>
      <c r="P119" s="123"/>
      <c r="Q119" s="14">
        <v>2017</v>
      </c>
      <c r="R119" s="15" t="s">
        <v>294</v>
      </c>
      <c r="S119" s="7" t="s">
        <v>618</v>
      </c>
      <c r="T119" s="41" t="s">
        <v>624</v>
      </c>
      <c r="U119" s="61"/>
      <c r="V119" s="61"/>
      <c r="W119" s="4" t="s">
        <v>287</v>
      </c>
      <c r="X119" s="124"/>
      <c r="Y119" s="124"/>
      <c r="Z119" s="4" t="s">
        <v>45</v>
      </c>
      <c r="AA119" s="11">
        <f>0.9*K119</f>
      </c>
      <c r="AB119" s="11">
        <f>1.3*K119</f>
      </c>
      <c r="AC119" s="4" t="s">
        <v>45</v>
      </c>
      <c r="AD119" s="13">
        <v>0.1</v>
      </c>
      <c r="AE119" s="11">
        <v>1</v>
      </c>
      <c r="AF119" s="11">
        <v>0</v>
      </c>
      <c r="AG119" s="4" t="s">
        <v>46</v>
      </c>
      <c r="AH119" s="61"/>
      <c r="AI119" s="61"/>
      <c r="AJ119" s="61"/>
    </row>
    <row x14ac:dyDescent="0.25" r="120" customHeight="1" ht="15">
      <c r="A120" s="20">
        <v>222</v>
      </c>
      <c r="B120" s="6">
        <v>2</v>
      </c>
      <c r="C120" s="7" t="s">
        <v>403</v>
      </c>
      <c r="D120" s="8">
        <f>REPT("   ", B120*2) &amp; C120</f>
      </c>
      <c r="E120" s="9"/>
      <c r="F120" s="9"/>
      <c r="G120" s="9"/>
      <c r="H120" s="9"/>
      <c r="I120" s="9"/>
      <c r="J120" s="14"/>
      <c r="K120" s="14"/>
      <c r="L120" s="15"/>
      <c r="M120" s="7"/>
      <c r="N120" s="20"/>
      <c r="O120" s="15"/>
      <c r="P120" s="20"/>
      <c r="Q120" s="14"/>
      <c r="R120" s="15"/>
      <c r="S120" s="7"/>
      <c r="T120" s="41"/>
      <c r="U120" s="15"/>
      <c r="V120" s="15"/>
      <c r="W120" s="4"/>
      <c r="X120" s="12"/>
      <c r="Y120" s="12"/>
      <c r="Z120" s="4"/>
      <c r="AA120" s="13"/>
      <c r="AB120" s="13"/>
      <c r="AC120" s="4"/>
      <c r="AD120" s="13"/>
      <c r="AE120" s="11"/>
      <c r="AF120" s="11"/>
      <c r="AG120" s="4"/>
      <c r="AH120" s="61"/>
      <c r="AI120" s="61"/>
      <c r="AJ120" s="61"/>
    </row>
    <row x14ac:dyDescent="0.25" r="121" customHeight="1" ht="30">
      <c r="A121" s="23">
        <v>222.1</v>
      </c>
      <c r="B121" s="6">
        <v>3</v>
      </c>
      <c r="C121" s="7" t="s">
        <v>625</v>
      </c>
      <c r="D121" s="8">
        <f>REPT("   ", B121*2) &amp; C121</f>
      </c>
      <c r="E121" s="9"/>
      <c r="F121" s="9"/>
      <c r="G121" s="9"/>
      <c r="H121" s="9"/>
      <c r="I121" s="9"/>
      <c r="J121" s="14"/>
      <c r="K121" s="14"/>
      <c r="L121" s="15"/>
      <c r="M121" s="7"/>
      <c r="N121" s="20"/>
      <c r="O121" s="15"/>
      <c r="P121" s="20"/>
      <c r="Q121" s="14"/>
      <c r="R121" s="15"/>
      <c r="S121" s="7"/>
      <c r="T121" s="15"/>
      <c r="U121" s="15"/>
      <c r="V121" s="15"/>
      <c r="W121" s="4"/>
      <c r="X121" s="12"/>
      <c r="Y121" s="12"/>
      <c r="Z121" s="4"/>
      <c r="AA121" s="13"/>
      <c r="AB121" s="13"/>
      <c r="AC121" s="4"/>
      <c r="AD121" s="13"/>
      <c r="AE121" s="11"/>
      <c r="AF121" s="11"/>
      <c r="AG121" s="4"/>
      <c r="AH121" s="61"/>
      <c r="AI121" s="61"/>
      <c r="AJ121" s="61"/>
    </row>
    <row x14ac:dyDescent="0.25" r="122" customHeight="1" ht="30">
      <c r="A122" s="10">
        <v>222.11</v>
      </c>
      <c r="B122" s="6">
        <v>4</v>
      </c>
      <c r="C122" s="7" t="s">
        <v>626</v>
      </c>
      <c r="D122" s="8">
        <f>REPT("   ", B122*2) &amp; C122</f>
      </c>
      <c r="E122" s="7" t="s">
        <v>241</v>
      </c>
      <c r="F122" s="7" t="s">
        <v>626</v>
      </c>
      <c r="G122" s="7" t="s">
        <v>627</v>
      </c>
      <c r="H122" s="9"/>
      <c r="I122" s="9"/>
      <c r="J122" s="14"/>
      <c r="K122" s="14">
        <f>12.5*705.48</f>
      </c>
      <c r="L122" s="15" t="s">
        <v>628</v>
      </c>
      <c r="M122" s="7" t="s">
        <v>629</v>
      </c>
      <c r="N122" s="20"/>
      <c r="O122" s="15"/>
      <c r="P122" s="39">
        <v>0.71</v>
      </c>
      <c r="Q122" s="14">
        <v>2003</v>
      </c>
      <c r="R122" s="15" t="s">
        <v>86</v>
      </c>
      <c r="S122" s="7" t="s">
        <v>630</v>
      </c>
      <c r="T122" s="41" t="s">
        <v>631</v>
      </c>
      <c r="U122" s="126" t="s">
        <v>632</v>
      </c>
      <c r="V122" s="41"/>
      <c r="W122" s="4" t="s">
        <v>287</v>
      </c>
      <c r="X122" s="12">
        <f>0.9*$J122</f>
      </c>
      <c r="Y122" s="12">
        <f>1.5*J122</f>
      </c>
      <c r="Z122" s="4" t="s">
        <v>45</v>
      </c>
      <c r="AA122" s="13">
        <f>0.9*K122</f>
      </c>
      <c r="AB122" s="13">
        <f>1.3*K122</f>
      </c>
      <c r="AC122" s="4" t="s">
        <v>45</v>
      </c>
      <c r="AD122" s="13">
        <v>0.1</v>
      </c>
      <c r="AE122" s="11">
        <v>1</v>
      </c>
      <c r="AF122" s="11">
        <v>0</v>
      </c>
      <c r="AG122" s="4" t="s">
        <v>46</v>
      </c>
      <c r="AH122" s="61"/>
      <c r="AI122" s="61"/>
      <c r="AJ122" s="61"/>
    </row>
    <row x14ac:dyDescent="0.25" r="123" customHeight="1" ht="30">
      <c r="A123" s="10">
        <v>222.12</v>
      </c>
      <c r="B123" s="6">
        <v>4</v>
      </c>
      <c r="C123" s="7" t="s">
        <v>633</v>
      </c>
      <c r="D123" s="8">
        <f>REPT("   ", B123*2) &amp; C123</f>
      </c>
      <c r="E123" s="7" t="s">
        <v>241</v>
      </c>
      <c r="F123" s="7" t="s">
        <v>633</v>
      </c>
      <c r="G123" s="7" t="s">
        <v>627</v>
      </c>
      <c r="H123" s="9"/>
      <c r="I123" s="9"/>
      <c r="J123" s="14"/>
      <c r="K123" s="14">
        <v>705.48</v>
      </c>
      <c r="L123" s="15" t="s">
        <v>628</v>
      </c>
      <c r="M123" s="7" t="s">
        <v>634</v>
      </c>
      <c r="N123" s="20"/>
      <c r="O123" s="15"/>
      <c r="P123" s="39">
        <v>0.71</v>
      </c>
      <c r="Q123" s="14">
        <v>2003</v>
      </c>
      <c r="R123" s="15" t="s">
        <v>86</v>
      </c>
      <c r="S123" s="7" t="s">
        <v>635</v>
      </c>
      <c r="T123" s="118"/>
      <c r="U123" s="118"/>
      <c r="V123" s="118"/>
      <c r="W123" s="4" t="s">
        <v>287</v>
      </c>
      <c r="X123" s="12">
        <f>0.9*$J123</f>
      </c>
      <c r="Y123" s="12">
        <f>1.5*J123</f>
      </c>
      <c r="Z123" s="4" t="s">
        <v>45</v>
      </c>
      <c r="AA123" s="13">
        <f>0.9*K123</f>
      </c>
      <c r="AB123" s="13">
        <f>1.3*K123</f>
      </c>
      <c r="AC123" s="4" t="s">
        <v>45</v>
      </c>
      <c r="AD123" s="13">
        <v>0.1</v>
      </c>
      <c r="AE123" s="11">
        <v>1</v>
      </c>
      <c r="AF123" s="11">
        <v>0</v>
      </c>
      <c r="AG123" s="4" t="s">
        <v>46</v>
      </c>
      <c r="AH123" s="61"/>
      <c r="AI123" s="61"/>
      <c r="AJ123" s="61"/>
    </row>
    <row x14ac:dyDescent="0.25" r="124" customHeight="1" ht="30">
      <c r="A124" s="10">
        <v>222.13</v>
      </c>
      <c r="B124" s="6">
        <v>4</v>
      </c>
      <c r="C124" s="7" t="s">
        <v>636</v>
      </c>
      <c r="D124" s="8">
        <f>REPT("   ", B124*2) &amp; C124</f>
      </c>
      <c r="E124" s="7" t="s">
        <v>241</v>
      </c>
      <c r="F124" s="7" t="s">
        <v>475</v>
      </c>
      <c r="G124" s="7" t="s">
        <v>476</v>
      </c>
      <c r="H124" s="9"/>
      <c r="I124" s="9"/>
      <c r="J124" s="14"/>
      <c r="K124" s="14">
        <v>7100000</v>
      </c>
      <c r="L124" s="15" t="s">
        <v>637</v>
      </c>
      <c r="M124" s="7"/>
      <c r="N124" s="20"/>
      <c r="O124" s="15"/>
      <c r="P124" s="20"/>
      <c r="Q124" s="14">
        <v>2020</v>
      </c>
      <c r="R124" s="15" t="s">
        <v>86</v>
      </c>
      <c r="S124" s="7" t="s">
        <v>638</v>
      </c>
      <c r="T124" s="41" t="s">
        <v>639</v>
      </c>
      <c r="U124" s="111"/>
      <c r="V124" s="41" t="s">
        <v>640</v>
      </c>
      <c r="W124" s="4" t="s">
        <v>287</v>
      </c>
      <c r="X124" s="12">
        <f>0.9*$J124</f>
      </c>
      <c r="Y124" s="12">
        <f>1.5*J124</f>
      </c>
      <c r="Z124" s="4" t="s">
        <v>45</v>
      </c>
      <c r="AA124" s="11">
        <f>0.9*K124</f>
      </c>
      <c r="AB124" s="11">
        <f>1.3*K124</f>
      </c>
      <c r="AC124" s="4" t="s">
        <v>45</v>
      </c>
      <c r="AD124" s="13">
        <v>0.1</v>
      </c>
      <c r="AE124" s="11">
        <v>1</v>
      </c>
      <c r="AF124" s="11">
        <v>0</v>
      </c>
      <c r="AG124" s="4" t="s">
        <v>46</v>
      </c>
      <c r="AH124" s="61"/>
      <c r="AI124" s="61"/>
      <c r="AJ124" s="61"/>
    </row>
    <row x14ac:dyDescent="0.25" r="125" customHeight="1" ht="30">
      <c r="A125" s="23">
        <v>222.2</v>
      </c>
      <c r="B125" s="6">
        <v>3</v>
      </c>
      <c r="C125" s="7" t="s">
        <v>641</v>
      </c>
      <c r="D125" s="8">
        <f>REPT("   ", B125*2) &amp; C125</f>
      </c>
      <c r="E125" s="7" t="s">
        <v>35</v>
      </c>
      <c r="F125" s="7" t="s">
        <v>475</v>
      </c>
      <c r="G125" s="7" t="s">
        <v>476</v>
      </c>
      <c r="H125" s="9"/>
      <c r="I125" s="9"/>
      <c r="J125" s="14"/>
      <c r="K125" s="14">
        <v>20000</v>
      </c>
      <c r="L125" s="15" t="s">
        <v>48</v>
      </c>
      <c r="M125" s="15" t="s">
        <v>49</v>
      </c>
      <c r="N125" s="20"/>
      <c r="O125" s="15"/>
      <c r="P125" s="20"/>
      <c r="Q125" s="14">
        <v>2017</v>
      </c>
      <c r="R125" s="15" t="s">
        <v>253</v>
      </c>
      <c r="S125" s="7" t="s">
        <v>642</v>
      </c>
      <c r="T125" s="7" t="s">
        <v>545</v>
      </c>
      <c r="U125" s="15"/>
      <c r="V125" s="15"/>
      <c r="W125" s="4" t="s">
        <v>287</v>
      </c>
      <c r="X125" s="12">
        <f>0.9*$J125</f>
      </c>
      <c r="Y125" s="12">
        <f>1.5*J125</f>
      </c>
      <c r="Z125" s="4" t="s">
        <v>45</v>
      </c>
      <c r="AA125" s="11">
        <f>0.9*K125</f>
      </c>
      <c r="AB125" s="11">
        <f>1.3*K125</f>
      </c>
      <c r="AC125" s="4" t="s">
        <v>45</v>
      </c>
      <c r="AD125" s="13">
        <v>0.1</v>
      </c>
      <c r="AE125" s="11">
        <v>1</v>
      </c>
      <c r="AF125" s="11">
        <v>0</v>
      </c>
      <c r="AG125" s="4" t="s">
        <v>46</v>
      </c>
      <c r="AH125" s="61"/>
      <c r="AI125" s="61"/>
      <c r="AJ125" s="61"/>
    </row>
    <row x14ac:dyDescent="0.25" r="126" customHeight="1" ht="30">
      <c r="A126" s="23">
        <v>222.2</v>
      </c>
      <c r="B126" s="6">
        <v>3</v>
      </c>
      <c r="C126" s="7" t="s">
        <v>641</v>
      </c>
      <c r="D126" s="8">
        <f>REPT("   ", B126*2) &amp; C126</f>
      </c>
      <c r="E126" s="7" t="s">
        <v>35</v>
      </c>
      <c r="F126" s="7" t="s">
        <v>475</v>
      </c>
      <c r="G126" s="7" t="s">
        <v>643</v>
      </c>
      <c r="H126" s="9"/>
      <c r="I126" s="9"/>
      <c r="J126" s="14"/>
      <c r="K126" s="14">
        <v>20000</v>
      </c>
      <c r="L126" s="15" t="s">
        <v>48</v>
      </c>
      <c r="M126" s="15" t="s">
        <v>49</v>
      </c>
      <c r="N126" s="20"/>
      <c r="O126" s="15"/>
      <c r="P126" s="20"/>
      <c r="Q126" s="14">
        <v>2017</v>
      </c>
      <c r="R126" s="15" t="s">
        <v>253</v>
      </c>
      <c r="S126" s="7" t="s">
        <v>642</v>
      </c>
      <c r="T126" s="7" t="s">
        <v>545</v>
      </c>
      <c r="U126" s="15"/>
      <c r="V126" s="15"/>
      <c r="W126" s="4" t="s">
        <v>287</v>
      </c>
      <c r="X126" s="12">
        <f>0.9*$J126</f>
      </c>
      <c r="Y126" s="12">
        <f>1.5*J126</f>
      </c>
      <c r="Z126" s="4" t="s">
        <v>45</v>
      </c>
      <c r="AA126" s="11">
        <f>0.9*K126</f>
      </c>
      <c r="AB126" s="11">
        <f>1.3*K126</f>
      </c>
      <c r="AC126" s="4" t="s">
        <v>45</v>
      </c>
      <c r="AD126" s="13">
        <v>0.1</v>
      </c>
      <c r="AE126" s="11">
        <v>1</v>
      </c>
      <c r="AF126" s="11">
        <v>0</v>
      </c>
      <c r="AG126" s="4" t="s">
        <v>46</v>
      </c>
      <c r="AH126" s="61"/>
      <c r="AI126" s="61"/>
      <c r="AJ126" s="61"/>
    </row>
    <row x14ac:dyDescent="0.25" r="127" customHeight="1" ht="30">
      <c r="A127" s="23">
        <v>222.2</v>
      </c>
      <c r="B127" s="6">
        <v>3</v>
      </c>
      <c r="C127" s="7" t="s">
        <v>641</v>
      </c>
      <c r="D127" s="8">
        <f>REPT("   ", B127*2) &amp; C127</f>
      </c>
      <c r="E127" s="7" t="s">
        <v>35</v>
      </c>
      <c r="F127" s="7" t="s">
        <v>475</v>
      </c>
      <c r="G127" s="7" t="s">
        <v>644</v>
      </c>
      <c r="H127" s="9"/>
      <c r="I127" s="9"/>
      <c r="J127" s="14"/>
      <c r="K127" s="14">
        <v>10000</v>
      </c>
      <c r="L127" s="15" t="s">
        <v>645</v>
      </c>
      <c r="M127" s="15" t="s">
        <v>646</v>
      </c>
      <c r="N127" s="14">
        <v>1</v>
      </c>
      <c r="O127" s="15"/>
      <c r="P127" s="39">
        <v>0.7</v>
      </c>
      <c r="Q127" s="14">
        <v>2017</v>
      </c>
      <c r="R127" s="15" t="s">
        <v>253</v>
      </c>
      <c r="S127" s="7" t="s">
        <v>647</v>
      </c>
      <c r="T127" s="7"/>
      <c r="U127" s="15"/>
      <c r="V127" s="15"/>
      <c r="W127" s="4" t="s">
        <v>287</v>
      </c>
      <c r="X127" s="12">
        <f>0.9*$J127</f>
      </c>
      <c r="Y127" s="12">
        <f>1.5*J127</f>
      </c>
      <c r="Z127" s="4" t="s">
        <v>45</v>
      </c>
      <c r="AA127" s="11">
        <f>0.9*K127</f>
      </c>
      <c r="AB127" s="11">
        <f>1.3*K127</f>
      </c>
      <c r="AC127" s="4" t="s">
        <v>45</v>
      </c>
      <c r="AD127" s="13">
        <v>0.1</v>
      </c>
      <c r="AE127" s="11">
        <v>1</v>
      </c>
      <c r="AF127" s="11">
        <v>0</v>
      </c>
      <c r="AG127" s="4" t="s">
        <v>46</v>
      </c>
      <c r="AH127" s="61"/>
      <c r="AI127" s="61"/>
      <c r="AJ127" s="61"/>
    </row>
    <row x14ac:dyDescent="0.25" r="128" customHeight="1" ht="30">
      <c r="A128" s="23">
        <v>222.3</v>
      </c>
      <c r="B128" s="6">
        <v>3</v>
      </c>
      <c r="C128" s="7" t="s">
        <v>409</v>
      </c>
      <c r="D128" s="8">
        <f>REPT("   ", B128*2) &amp; C128</f>
      </c>
      <c r="E128" s="9"/>
      <c r="F128" s="9"/>
      <c r="G128" s="9"/>
      <c r="H128" s="9"/>
      <c r="I128" s="9"/>
      <c r="J128" s="14"/>
      <c r="K128" s="14"/>
      <c r="L128" s="15"/>
      <c r="M128" s="7"/>
      <c r="N128" s="20"/>
      <c r="O128" s="15"/>
      <c r="P128" s="20"/>
      <c r="Q128" s="14"/>
      <c r="R128" s="15"/>
      <c r="S128" s="7"/>
      <c r="T128" s="15"/>
      <c r="U128" s="15"/>
      <c r="V128" s="127"/>
      <c r="W128" s="4"/>
      <c r="X128" s="12"/>
      <c r="Y128" s="12"/>
      <c r="Z128" s="4"/>
      <c r="AA128" s="13"/>
      <c r="AB128" s="13"/>
      <c r="AC128" s="4"/>
      <c r="AD128" s="13"/>
      <c r="AE128" s="11"/>
      <c r="AF128" s="11"/>
      <c r="AG128" s="4"/>
      <c r="AH128" s="61"/>
      <c r="AI128" s="61"/>
      <c r="AJ128" s="61"/>
    </row>
    <row x14ac:dyDescent="0.25" r="129" customHeight="1" ht="30">
      <c r="A129" s="23">
        <v>222.31</v>
      </c>
      <c r="B129" s="6">
        <v>4</v>
      </c>
      <c r="C129" s="7" t="s">
        <v>648</v>
      </c>
      <c r="D129" s="8">
        <f>REPT("   ", B129*2) &amp; C129</f>
      </c>
      <c r="E129" s="7" t="s">
        <v>35</v>
      </c>
      <c r="F129" s="7" t="s">
        <v>649</v>
      </c>
      <c r="G129" s="7" t="s">
        <v>650</v>
      </c>
      <c r="H129" s="9"/>
      <c r="I129" s="9"/>
      <c r="J129" s="14"/>
      <c r="K129" s="14">
        <v>50</v>
      </c>
      <c r="L129" s="15" t="s">
        <v>261</v>
      </c>
      <c r="M129" s="7" t="s">
        <v>651</v>
      </c>
      <c r="N129" s="20"/>
      <c r="O129" s="15" t="s">
        <v>263</v>
      </c>
      <c r="P129" s="20"/>
      <c r="Q129" s="14">
        <v>2004</v>
      </c>
      <c r="R129" s="15" t="s">
        <v>253</v>
      </c>
      <c r="S129" s="7" t="s">
        <v>652</v>
      </c>
      <c r="T129" s="41" t="s">
        <v>653</v>
      </c>
      <c r="U129" s="15"/>
      <c r="V129" s="15"/>
      <c r="W129" s="4" t="s">
        <v>287</v>
      </c>
      <c r="X129" s="12">
        <f>0.9*$J129</f>
      </c>
      <c r="Y129" s="12">
        <f>1.5*J129</f>
      </c>
      <c r="Z129" s="4" t="s">
        <v>45</v>
      </c>
      <c r="AA129" s="11">
        <f>0.9*K129</f>
      </c>
      <c r="AB129" s="11">
        <f>1.3*K129</f>
      </c>
      <c r="AC129" s="4" t="s">
        <v>45</v>
      </c>
      <c r="AD129" s="13">
        <v>0.1</v>
      </c>
      <c r="AE129" s="11">
        <v>1</v>
      </c>
      <c r="AF129" s="11">
        <v>0</v>
      </c>
      <c r="AG129" s="4" t="s">
        <v>46</v>
      </c>
      <c r="AH129" s="61"/>
      <c r="AI129" s="61"/>
      <c r="AJ129" s="61"/>
    </row>
    <row x14ac:dyDescent="0.25" r="130" customHeight="1" ht="15">
      <c r="A130" s="23">
        <v>222.31</v>
      </c>
      <c r="B130" s="6">
        <v>4</v>
      </c>
      <c r="C130" s="7" t="s">
        <v>648</v>
      </c>
      <c r="D130" s="8">
        <f>REPT("   ", B130*2) &amp; C130</f>
      </c>
      <c r="E130" s="7" t="s">
        <v>35</v>
      </c>
      <c r="F130" s="7" t="s">
        <v>649</v>
      </c>
      <c r="G130" s="7" t="s">
        <v>654</v>
      </c>
      <c r="H130" s="9"/>
      <c r="I130" s="9"/>
      <c r="J130" s="14"/>
      <c r="K130" s="14">
        <v>120</v>
      </c>
      <c r="L130" s="15" t="s">
        <v>261</v>
      </c>
      <c r="M130" s="7" t="s">
        <v>651</v>
      </c>
      <c r="N130" s="20"/>
      <c r="O130" s="15" t="s">
        <v>263</v>
      </c>
      <c r="P130" s="20"/>
      <c r="Q130" s="14">
        <v>2013</v>
      </c>
      <c r="R130" s="15" t="s">
        <v>253</v>
      </c>
      <c r="S130" s="7" t="s">
        <v>652</v>
      </c>
      <c r="T130" s="41" t="s">
        <v>655</v>
      </c>
      <c r="U130" s="15"/>
      <c r="V130" s="118"/>
      <c r="W130" s="4" t="s">
        <v>287</v>
      </c>
      <c r="X130" s="12">
        <f>0.9*$J130</f>
      </c>
      <c r="Y130" s="12">
        <f>1.5*J130</f>
      </c>
      <c r="Z130" s="4" t="s">
        <v>45</v>
      </c>
      <c r="AA130" s="11">
        <f>0.9*K130</f>
      </c>
      <c r="AB130" s="11">
        <f>1.3*K130</f>
      </c>
      <c r="AC130" s="4" t="s">
        <v>45</v>
      </c>
      <c r="AD130" s="13">
        <v>0.1</v>
      </c>
      <c r="AE130" s="11">
        <v>1</v>
      </c>
      <c r="AF130" s="11">
        <v>0</v>
      </c>
      <c r="AG130" s="4" t="s">
        <v>46</v>
      </c>
      <c r="AH130" s="61"/>
      <c r="AI130" s="61"/>
      <c r="AJ130" s="61"/>
    </row>
    <row x14ac:dyDescent="0.25" r="131" customHeight="1" ht="15">
      <c r="A131" s="23">
        <v>222.32</v>
      </c>
      <c r="B131" s="6">
        <v>4</v>
      </c>
      <c r="C131" s="7" t="s">
        <v>656</v>
      </c>
      <c r="D131" s="8">
        <f>REPT("   ", B131*2) &amp; C131</f>
      </c>
      <c r="E131" s="7" t="s">
        <v>35</v>
      </c>
      <c r="F131" s="7" t="s">
        <v>649</v>
      </c>
      <c r="G131" s="7" t="s">
        <v>650</v>
      </c>
      <c r="H131" s="9"/>
      <c r="I131" s="9"/>
      <c r="J131" s="14"/>
      <c r="K131" s="14">
        <v>50</v>
      </c>
      <c r="L131" s="15" t="s">
        <v>261</v>
      </c>
      <c r="M131" s="7" t="s">
        <v>657</v>
      </c>
      <c r="N131" s="20"/>
      <c r="O131" s="15" t="s">
        <v>263</v>
      </c>
      <c r="P131" s="20"/>
      <c r="Q131" s="14">
        <v>2004</v>
      </c>
      <c r="R131" s="15" t="s">
        <v>253</v>
      </c>
      <c r="S131" s="7" t="s">
        <v>652</v>
      </c>
      <c r="T131" s="41" t="s">
        <v>653</v>
      </c>
      <c r="U131" s="15"/>
      <c r="V131" s="15"/>
      <c r="W131" s="4" t="s">
        <v>287</v>
      </c>
      <c r="X131" s="12">
        <f>0.9*$J131</f>
      </c>
      <c r="Y131" s="12">
        <f>1.5*J131</f>
      </c>
      <c r="Z131" s="4" t="s">
        <v>45</v>
      </c>
      <c r="AA131" s="11">
        <f>0.9*K131</f>
      </c>
      <c r="AB131" s="11">
        <f>1.3*K131</f>
      </c>
      <c r="AC131" s="4" t="s">
        <v>45</v>
      </c>
      <c r="AD131" s="13">
        <v>0.1</v>
      </c>
      <c r="AE131" s="11">
        <v>1</v>
      </c>
      <c r="AF131" s="11">
        <v>0</v>
      </c>
      <c r="AG131" s="4" t="s">
        <v>46</v>
      </c>
      <c r="AH131" s="61"/>
      <c r="AI131" s="61"/>
      <c r="AJ131" s="61"/>
    </row>
    <row x14ac:dyDescent="0.25" r="132" customHeight="1" ht="30">
      <c r="A132" s="23">
        <v>222.32</v>
      </c>
      <c r="B132" s="6">
        <v>4</v>
      </c>
      <c r="C132" s="7" t="s">
        <v>656</v>
      </c>
      <c r="D132" s="8">
        <f>REPT("   ", B132*2) &amp; C132</f>
      </c>
      <c r="E132" s="7" t="s">
        <v>35</v>
      </c>
      <c r="F132" s="7" t="s">
        <v>649</v>
      </c>
      <c r="G132" s="7" t="s">
        <v>654</v>
      </c>
      <c r="H132" s="9"/>
      <c r="I132" s="9"/>
      <c r="J132" s="14"/>
      <c r="K132" s="14">
        <v>120</v>
      </c>
      <c r="L132" s="15" t="s">
        <v>261</v>
      </c>
      <c r="M132" s="7" t="s">
        <v>657</v>
      </c>
      <c r="N132" s="20"/>
      <c r="O132" s="15" t="s">
        <v>263</v>
      </c>
      <c r="P132" s="20"/>
      <c r="Q132" s="14">
        <v>2013</v>
      </c>
      <c r="R132" s="15" t="s">
        <v>253</v>
      </c>
      <c r="S132" s="7" t="s">
        <v>652</v>
      </c>
      <c r="T132" s="41" t="s">
        <v>655</v>
      </c>
      <c r="U132" s="15"/>
      <c r="V132" s="15"/>
      <c r="W132" s="4" t="s">
        <v>287</v>
      </c>
      <c r="X132" s="12">
        <f>0.9*$J132</f>
      </c>
      <c r="Y132" s="12">
        <f>1.5*J132</f>
      </c>
      <c r="Z132" s="4" t="s">
        <v>45</v>
      </c>
      <c r="AA132" s="11">
        <f>0.9*K132</f>
      </c>
      <c r="AB132" s="11">
        <f>1.3*K132</f>
      </c>
      <c r="AC132" s="4" t="s">
        <v>45</v>
      </c>
      <c r="AD132" s="13">
        <v>0.1</v>
      </c>
      <c r="AE132" s="11">
        <v>1</v>
      </c>
      <c r="AF132" s="11">
        <v>0</v>
      </c>
      <c r="AG132" s="4" t="s">
        <v>46</v>
      </c>
      <c r="AH132" s="61"/>
      <c r="AI132" s="61"/>
      <c r="AJ132" s="61"/>
    </row>
    <row x14ac:dyDescent="0.25" r="133" customHeight="1" ht="30">
      <c r="A133" s="23">
        <v>222.5</v>
      </c>
      <c r="B133" s="6">
        <v>3</v>
      </c>
      <c r="C133" s="7" t="s">
        <v>658</v>
      </c>
      <c r="D133" s="8">
        <f>REPT("   ", B133*2) &amp; C133</f>
      </c>
      <c r="E133" s="7" t="s">
        <v>35</v>
      </c>
      <c r="F133" s="7" t="s">
        <v>659</v>
      </c>
      <c r="G133" s="7" t="s">
        <v>660</v>
      </c>
      <c r="H133" s="9"/>
      <c r="I133" s="9"/>
      <c r="J133" s="14"/>
      <c r="K133" s="14">
        <v>170</v>
      </c>
      <c r="L133" s="15" t="s">
        <v>261</v>
      </c>
      <c r="M133" s="7" t="s">
        <v>262</v>
      </c>
      <c r="N133" s="20"/>
      <c r="O133" s="15" t="s">
        <v>263</v>
      </c>
      <c r="P133" s="20"/>
      <c r="Q133" s="14">
        <v>2024</v>
      </c>
      <c r="R133" s="15" t="s">
        <v>294</v>
      </c>
      <c r="S133" s="7" t="s">
        <v>264</v>
      </c>
      <c r="T133" s="41" t="s">
        <v>264</v>
      </c>
      <c r="U133" s="25" t="s">
        <v>265</v>
      </c>
      <c r="V133" s="15" t="s">
        <v>266</v>
      </c>
      <c r="W133" s="4" t="s">
        <v>44</v>
      </c>
      <c r="X133" s="12">
        <f>0.9*$J133</f>
      </c>
      <c r="Y133" s="12">
        <f>1.5*J133</f>
      </c>
      <c r="Z133" s="4" t="s">
        <v>45</v>
      </c>
      <c r="AA133" s="11">
        <f>0.9*K133</f>
      </c>
      <c r="AB133" s="11">
        <f>1.3*K133</f>
      </c>
      <c r="AC133" s="4" t="s">
        <v>45</v>
      </c>
      <c r="AD133" s="13">
        <v>0.1</v>
      </c>
      <c r="AE133" s="11">
        <v>1</v>
      </c>
      <c r="AF133" s="11">
        <v>0</v>
      </c>
      <c r="AG133" s="4" t="s">
        <v>46</v>
      </c>
      <c r="AH133" s="61"/>
      <c r="AI133" s="61"/>
      <c r="AJ133" s="61"/>
    </row>
    <row x14ac:dyDescent="0.25" r="134" customHeight="1" ht="30">
      <c r="A134" s="23">
        <v>222.5</v>
      </c>
      <c r="B134" s="6">
        <v>3</v>
      </c>
      <c r="C134" s="7" t="s">
        <v>658</v>
      </c>
      <c r="D134" s="8">
        <f>REPT("   ", B134*2) &amp; C134</f>
      </c>
      <c r="E134" s="7" t="s">
        <v>35</v>
      </c>
      <c r="F134" s="7" t="s">
        <v>659</v>
      </c>
      <c r="G134" s="7" t="s">
        <v>661</v>
      </c>
      <c r="H134" s="9"/>
      <c r="I134" s="9"/>
      <c r="J134" s="14"/>
      <c r="K134" s="14">
        <v>118</v>
      </c>
      <c r="L134" s="15" t="s">
        <v>261</v>
      </c>
      <c r="M134" s="7" t="s">
        <v>262</v>
      </c>
      <c r="N134" s="20"/>
      <c r="O134" s="15" t="s">
        <v>263</v>
      </c>
      <c r="P134" s="20"/>
      <c r="Q134" s="14">
        <v>2023</v>
      </c>
      <c r="R134" s="15" t="s">
        <v>294</v>
      </c>
      <c r="S134" s="7"/>
      <c r="T134" s="41"/>
      <c r="U134" s="25"/>
      <c r="V134" s="15"/>
      <c r="W134" s="4" t="s">
        <v>44</v>
      </c>
      <c r="X134" s="12"/>
      <c r="Y134" s="12"/>
      <c r="Z134" s="4"/>
      <c r="AA134" s="13">
        <f>0.9*K134</f>
      </c>
      <c r="AB134" s="13">
        <f>1.3*K134</f>
      </c>
      <c r="AC134" s="4" t="s">
        <v>45</v>
      </c>
      <c r="AD134" s="13">
        <v>0.1</v>
      </c>
      <c r="AE134" s="11">
        <v>1</v>
      </c>
      <c r="AF134" s="11">
        <v>0</v>
      </c>
      <c r="AG134" s="4" t="s">
        <v>46</v>
      </c>
      <c r="AH134" s="61"/>
      <c r="AI134" s="61"/>
      <c r="AJ134" s="61"/>
    </row>
    <row x14ac:dyDescent="0.25" r="135" customHeight="1" ht="30">
      <c r="A135" s="23">
        <v>222.6</v>
      </c>
      <c r="B135" s="6">
        <v>3</v>
      </c>
      <c r="C135" s="7" t="s">
        <v>662</v>
      </c>
      <c r="D135" s="8">
        <f>REPT("   ", B135*2) &amp; C135</f>
      </c>
      <c r="E135" s="9"/>
      <c r="F135" s="7" t="s">
        <v>475</v>
      </c>
      <c r="G135" s="7" t="s">
        <v>476</v>
      </c>
      <c r="H135" s="9"/>
      <c r="I135" s="9"/>
      <c r="J135" s="14"/>
      <c r="K135" s="14"/>
      <c r="L135" s="15"/>
      <c r="M135" s="7"/>
      <c r="N135" s="20"/>
      <c r="O135" s="15"/>
      <c r="P135" s="20"/>
      <c r="Q135" s="14"/>
      <c r="R135" s="15"/>
      <c r="S135" s="7"/>
      <c r="T135" s="41"/>
      <c r="U135" s="25"/>
      <c r="V135" s="15"/>
      <c r="W135" s="4"/>
      <c r="X135" s="12"/>
      <c r="Y135" s="12"/>
      <c r="Z135" s="4"/>
      <c r="AA135" s="13"/>
      <c r="AB135" s="13"/>
      <c r="AC135" s="4"/>
      <c r="AD135" s="13"/>
      <c r="AE135" s="11"/>
      <c r="AF135" s="11"/>
      <c r="AG135" s="4"/>
      <c r="AH135" s="61"/>
      <c r="AI135" s="61"/>
      <c r="AJ135" s="61"/>
    </row>
    <row x14ac:dyDescent="0.25" r="136" customHeight="1" ht="42.75">
      <c r="A136" s="23">
        <v>222.61</v>
      </c>
      <c r="B136" s="6">
        <f>IF(ISNUMBER(A136),
IF(AND(A136=INT(A136), MOD(A136, 10) = 0), 0,
IF(AND(A136=INT(A136), LEN(A136)=2), 1,
IF(AND(A136=INT(A136), LEN(A136)=3), 2,
LEN(A136) - FIND(".", A136) + 2)
)
),
"")</f>
      </c>
      <c r="C136" s="7" t="s">
        <v>662</v>
      </c>
      <c r="D136" s="8">
        <f>REPT("   ", B136*2) &amp; C136</f>
      </c>
      <c r="E136" s="7" t="s">
        <v>35</v>
      </c>
      <c r="F136" s="7" t="s">
        <v>475</v>
      </c>
      <c r="G136" s="7" t="s">
        <v>476</v>
      </c>
      <c r="H136" s="9"/>
      <c r="I136" s="9"/>
      <c r="J136" s="14"/>
      <c r="K136" s="14">
        <v>50</v>
      </c>
      <c r="L136" s="15" t="s">
        <v>261</v>
      </c>
      <c r="M136" s="7" t="s">
        <v>663</v>
      </c>
      <c r="N136" s="20"/>
      <c r="O136" s="15" t="s">
        <v>263</v>
      </c>
      <c r="P136" s="20"/>
      <c r="Q136" s="14">
        <v>2004</v>
      </c>
      <c r="R136" s="15" t="s">
        <v>86</v>
      </c>
      <c r="S136" s="7" t="s">
        <v>652</v>
      </c>
      <c r="T136" s="41" t="s">
        <v>653</v>
      </c>
      <c r="U136" s="25"/>
      <c r="V136" s="41" t="s">
        <v>664</v>
      </c>
      <c r="W136" s="4" t="s">
        <v>287</v>
      </c>
      <c r="X136" s="12">
        <f>0.9*$J136</f>
      </c>
      <c r="Y136" s="12">
        <f>1.5*J136</f>
      </c>
      <c r="Z136" s="4" t="s">
        <v>45</v>
      </c>
      <c r="AA136" s="11">
        <f>0.9*K136</f>
      </c>
      <c r="AB136" s="11">
        <f>1.3*K136</f>
      </c>
      <c r="AC136" s="4" t="s">
        <v>45</v>
      </c>
      <c r="AD136" s="13">
        <v>0.1</v>
      </c>
      <c r="AE136" s="11">
        <v>1</v>
      </c>
      <c r="AF136" s="11">
        <v>0</v>
      </c>
      <c r="AG136" s="4" t="s">
        <v>46</v>
      </c>
      <c r="AH136" s="61"/>
      <c r="AI136" s="61"/>
      <c r="AJ136" s="61"/>
    </row>
    <row x14ac:dyDescent="0.25" r="137" customHeight="1" ht="15">
      <c r="A137" s="23">
        <v>222.62</v>
      </c>
      <c r="B137" s="6">
        <f>IF(ISNUMBER(A137),
IF(AND(A137=INT(A137), MOD(A137, 10) = 0), 0,
IF(AND(A137=INT(A137), LEN(A137)=2), 1,
IF(AND(A137=INT(A137), LEN(A137)=3), 2,
LEN(A137) - FIND(".", A137) + 2)
)
),
"")</f>
      </c>
      <c r="C137" s="7" t="s">
        <v>665</v>
      </c>
      <c r="D137" s="8">
        <f>REPT("   ", B137*2) &amp; C137</f>
      </c>
      <c r="E137" s="7" t="s">
        <v>35</v>
      </c>
      <c r="F137" s="7" t="s">
        <v>475</v>
      </c>
      <c r="G137" s="7" t="s">
        <v>476</v>
      </c>
      <c r="H137" s="9"/>
      <c r="I137" s="9"/>
      <c r="J137" s="14"/>
      <c r="K137" s="14">
        <f>3171011/N137</f>
      </c>
      <c r="L137" s="15" t="s">
        <v>261</v>
      </c>
      <c r="M137" s="7" t="s">
        <v>663</v>
      </c>
      <c r="N137" s="14">
        <v>387000</v>
      </c>
      <c r="O137" s="15" t="s">
        <v>263</v>
      </c>
      <c r="P137" s="39">
        <v>0.85</v>
      </c>
      <c r="Q137" s="14">
        <v>2018</v>
      </c>
      <c r="R137" s="15" t="s">
        <v>86</v>
      </c>
      <c r="S137" s="7" t="s">
        <v>156</v>
      </c>
      <c r="T137" s="41" t="s">
        <v>653</v>
      </c>
      <c r="U137" s="25"/>
      <c r="V137" s="118"/>
      <c r="W137" s="4" t="s">
        <v>287</v>
      </c>
      <c r="X137" s="12">
        <f>0.9*$J137</f>
      </c>
      <c r="Y137" s="12">
        <f>1.5*J137</f>
      </c>
      <c r="Z137" s="4" t="s">
        <v>45</v>
      </c>
      <c r="AA137" s="13">
        <f>0.9*K137</f>
      </c>
      <c r="AB137" s="13">
        <f>1.3*K137</f>
      </c>
      <c r="AC137" s="4" t="s">
        <v>45</v>
      </c>
      <c r="AD137" s="13">
        <v>0.1</v>
      </c>
      <c r="AE137" s="11">
        <v>1</v>
      </c>
      <c r="AF137" s="11">
        <v>0</v>
      </c>
      <c r="AG137" s="4" t="s">
        <v>46</v>
      </c>
      <c r="AH137" s="61"/>
      <c r="AI137" s="61"/>
      <c r="AJ137" s="61"/>
    </row>
    <row x14ac:dyDescent="0.25" r="138" customHeight="1" ht="15">
      <c r="A138" s="20">
        <v>223</v>
      </c>
      <c r="B138" s="6">
        <f>IF(ISNUMBER(A138),
IF(AND(A138=INT(A138), MOD(A138, 10) = 0), 0,
IF(AND(A138=INT(A138), LEN(A138)=2), 1,
IF(AND(A138=INT(A138), LEN(A138)=3), 2,
LEN(A138) - FIND(".", A138) + 2)
)
),
"")</f>
      </c>
      <c r="C138" s="7" t="s">
        <v>666</v>
      </c>
      <c r="D138" s="8">
        <f>REPT("   ", B138*2) &amp; C138</f>
      </c>
      <c r="E138" s="9"/>
      <c r="F138" s="9"/>
      <c r="G138" s="9"/>
      <c r="H138" s="9"/>
      <c r="I138" s="9"/>
      <c r="J138" s="14"/>
      <c r="K138" s="14"/>
      <c r="L138" s="15"/>
      <c r="M138" s="7"/>
      <c r="N138" s="20"/>
      <c r="O138" s="15"/>
      <c r="P138" s="20"/>
      <c r="Q138" s="14"/>
      <c r="R138" s="15"/>
      <c r="S138" s="7"/>
      <c r="T138" s="15"/>
      <c r="U138" s="15"/>
      <c r="V138" s="15"/>
      <c r="W138" s="4"/>
      <c r="X138" s="12"/>
      <c r="Y138" s="12"/>
      <c r="Z138" s="4"/>
      <c r="AA138" s="13"/>
      <c r="AB138" s="13"/>
      <c r="AC138" s="4"/>
      <c r="AD138" s="13"/>
      <c r="AE138" s="11"/>
      <c r="AF138" s="11"/>
      <c r="AG138" s="4"/>
      <c r="AH138" s="61"/>
      <c r="AI138" s="61"/>
      <c r="AJ138" s="61"/>
    </row>
    <row x14ac:dyDescent="0.25" r="139" customHeight="1" ht="15">
      <c r="A139" s="23">
        <v>223.2</v>
      </c>
      <c r="B139" s="6">
        <f>IF(ISNUMBER(A139),
IF(AND(A139=INT(A139), MOD(A139, 10) = 0), 0,
IF(AND(A139=INT(A139), LEN(A139)=2), 1,
IF(AND(A139=INT(A139), LEN(A139)=3), 2,
LEN(A139) - FIND(".", A139) + 2)
)
),
"")</f>
      </c>
      <c r="C139" s="7" t="s">
        <v>667</v>
      </c>
      <c r="D139" s="8">
        <f>REPT("   ", B139*2) &amp; C139</f>
      </c>
      <c r="E139" s="9"/>
      <c r="F139" s="9"/>
      <c r="G139" s="9"/>
      <c r="H139" s="9"/>
      <c r="I139" s="9"/>
      <c r="J139" s="14"/>
      <c r="K139" s="14"/>
      <c r="L139" s="15"/>
      <c r="M139" s="7"/>
      <c r="N139" s="20"/>
      <c r="O139" s="15"/>
      <c r="P139" s="20"/>
      <c r="Q139" s="14"/>
      <c r="R139" s="15"/>
      <c r="S139" s="7"/>
      <c r="T139" s="15"/>
      <c r="U139" s="15"/>
      <c r="V139" s="15"/>
      <c r="W139" s="4"/>
      <c r="X139" s="12"/>
      <c r="Y139" s="12"/>
      <c r="Z139" s="4"/>
      <c r="AA139" s="13"/>
      <c r="AB139" s="13"/>
      <c r="AC139" s="4"/>
      <c r="AD139" s="13"/>
      <c r="AE139" s="11"/>
      <c r="AF139" s="11"/>
      <c r="AG139" s="4"/>
      <c r="AH139" s="61"/>
      <c r="AI139" s="61"/>
      <c r="AJ139" s="61"/>
    </row>
    <row x14ac:dyDescent="0.25" r="140" customHeight="1" ht="15">
      <c r="A140" s="23">
        <v>223.21</v>
      </c>
      <c r="B140" s="6">
        <f>IF(ISNUMBER(A140),
IF(AND(A140=INT(A140), MOD(A140, 10) = 0), 0,
IF(AND(A140=INT(A140), LEN(A140)=2), 1,
IF(AND(A140=INT(A140), LEN(A140)=3), 2,
LEN(A140) - FIND(".", A140) + 2)
)
),
"")</f>
      </c>
      <c r="C140" s="7" t="s">
        <v>668</v>
      </c>
      <c r="D140" s="8">
        <f>REPT("   ", B140*2) &amp; C140</f>
      </c>
      <c r="E140" s="7" t="s">
        <v>35</v>
      </c>
      <c r="F140" s="9"/>
      <c r="G140" s="7"/>
      <c r="H140" s="7"/>
      <c r="I140" s="9"/>
      <c r="J140" s="14"/>
      <c r="K140" s="14">
        <f>K68</f>
      </c>
      <c r="L140" s="15" t="s">
        <v>261</v>
      </c>
      <c r="M140" s="7" t="s">
        <v>669</v>
      </c>
      <c r="N140" s="20"/>
      <c r="O140" s="15"/>
      <c r="P140" s="20"/>
      <c r="Q140" s="14">
        <v>2017</v>
      </c>
      <c r="R140" s="15" t="s">
        <v>86</v>
      </c>
      <c r="S140" s="7" t="s">
        <v>544</v>
      </c>
      <c r="T140" s="41" t="s">
        <v>545</v>
      </c>
      <c r="U140" s="15"/>
      <c r="V140" s="15"/>
      <c r="W140" s="4" t="s">
        <v>287</v>
      </c>
      <c r="X140" s="12">
        <f>0.9*$J140</f>
      </c>
      <c r="Y140" s="12">
        <f>1.5*J140</f>
      </c>
      <c r="Z140" s="4" t="s">
        <v>45</v>
      </c>
      <c r="AA140" s="13">
        <f>0.9*K140</f>
      </c>
      <c r="AB140" s="13">
        <f>1.3*K140</f>
      </c>
      <c r="AC140" s="4" t="s">
        <v>45</v>
      </c>
      <c r="AD140" s="13">
        <v>0.1</v>
      </c>
      <c r="AE140" s="11">
        <v>1</v>
      </c>
      <c r="AF140" s="11">
        <v>0</v>
      </c>
      <c r="AG140" s="4" t="s">
        <v>46</v>
      </c>
      <c r="AH140" s="61"/>
      <c r="AI140" s="61"/>
      <c r="AJ140" s="61"/>
    </row>
    <row x14ac:dyDescent="0.25" r="141" customHeight="1" ht="42.75">
      <c r="A141" s="23">
        <v>223.22</v>
      </c>
      <c r="B141" s="6">
        <f>IF(ISNUMBER(A141),
IF(AND(A141=INT(A141), MOD(A141, 10) = 0), 0,
IF(AND(A141=INT(A141), LEN(A141)=2), 1,
IF(AND(A141=INT(A141), LEN(A141)=3), 2,
LEN(A141) - FIND(".", A141) + 2)
)
),
"")</f>
      </c>
      <c r="C141" s="7" t="s">
        <v>670</v>
      </c>
      <c r="D141" s="8">
        <f>REPT("   ", B141*2) &amp; C141</f>
      </c>
      <c r="E141" s="7" t="s">
        <v>35</v>
      </c>
      <c r="F141" s="9"/>
      <c r="G141" s="7"/>
      <c r="H141" s="7"/>
      <c r="I141" s="9"/>
      <c r="J141" s="14"/>
      <c r="K141" s="14">
        <f>K140</f>
      </c>
      <c r="L141" s="15" t="s">
        <v>261</v>
      </c>
      <c r="M141" s="7" t="s">
        <v>671</v>
      </c>
      <c r="N141" s="20"/>
      <c r="O141" s="15"/>
      <c r="P141" s="20"/>
      <c r="Q141" s="14">
        <v>2017</v>
      </c>
      <c r="R141" s="15" t="s">
        <v>86</v>
      </c>
      <c r="S141" s="7" t="s">
        <v>544</v>
      </c>
      <c r="T141" s="41" t="s">
        <v>545</v>
      </c>
      <c r="U141" s="15"/>
      <c r="V141" s="15"/>
      <c r="W141" s="4" t="s">
        <v>287</v>
      </c>
      <c r="X141" s="12">
        <f>0.9*$J141</f>
      </c>
      <c r="Y141" s="12">
        <f>1.5*J141</f>
      </c>
      <c r="Z141" s="4" t="s">
        <v>45</v>
      </c>
      <c r="AA141" s="13">
        <f>0.9*K141</f>
      </c>
      <c r="AB141" s="13">
        <f>1.3*K141</f>
      </c>
      <c r="AC141" s="4" t="s">
        <v>45</v>
      </c>
      <c r="AD141" s="13">
        <v>0.1</v>
      </c>
      <c r="AE141" s="11">
        <v>1</v>
      </c>
      <c r="AF141" s="11">
        <v>0</v>
      </c>
      <c r="AG141" s="4" t="s">
        <v>46</v>
      </c>
      <c r="AH141" s="61"/>
      <c r="AI141" s="61"/>
      <c r="AJ141" s="61"/>
    </row>
    <row x14ac:dyDescent="0.25" r="142" customHeight="1" ht="15">
      <c r="A142" s="20">
        <v>226</v>
      </c>
      <c r="B142" s="6">
        <f>IF(ISNUMBER(A142),
IF(AND(A142=INT(A142), MOD(A142, 10) = 0), 0,
IF(AND(A142=INT(A142), LEN(A142)=2), 1,
IF(AND(A142=INT(A142), LEN(A142)=3), 2,
LEN(A142) - FIND(".", A142) + 2)
)
),
"")</f>
      </c>
      <c r="C142" s="7" t="s">
        <v>413</v>
      </c>
      <c r="D142" s="8">
        <f>REPT("   ", B142*2) &amp; C142</f>
      </c>
      <c r="E142" s="7" t="s">
        <v>35</v>
      </c>
      <c r="F142" s="7" t="s">
        <v>475</v>
      </c>
      <c r="G142" s="7" t="s">
        <v>643</v>
      </c>
      <c r="H142" s="7"/>
      <c r="I142" s="9"/>
      <c r="J142" s="14">
        <f>MARVEL_Cost!C42</f>
      </c>
      <c r="K142" s="14"/>
      <c r="L142" s="15"/>
      <c r="M142" s="7"/>
      <c r="N142" s="20"/>
      <c r="O142" s="15"/>
      <c r="P142" s="20"/>
      <c r="Q142" s="14">
        <v>2024</v>
      </c>
      <c r="R142" s="15" t="s">
        <v>253</v>
      </c>
      <c r="S142" s="7" t="s">
        <v>222</v>
      </c>
      <c r="T142" s="15"/>
      <c r="U142" s="15"/>
      <c r="V142" s="15"/>
      <c r="W142" s="4" t="s">
        <v>287</v>
      </c>
      <c r="X142" s="12">
        <f>0.9*$J142</f>
      </c>
      <c r="Y142" s="12">
        <f>1.5*J142</f>
      </c>
      <c r="Z142" s="4" t="s">
        <v>45</v>
      </c>
      <c r="AA142" s="11">
        <f>0.9*K142</f>
      </c>
      <c r="AB142" s="11">
        <f>1.3*K142</f>
      </c>
      <c r="AC142" s="4" t="s">
        <v>45</v>
      </c>
      <c r="AD142" s="13">
        <v>0.1</v>
      </c>
      <c r="AE142" s="11">
        <v>1</v>
      </c>
      <c r="AF142" s="11">
        <v>0</v>
      </c>
      <c r="AG142" s="4" t="s">
        <v>46</v>
      </c>
      <c r="AH142" s="61"/>
      <c r="AI142" s="61"/>
      <c r="AJ142" s="61"/>
    </row>
    <row x14ac:dyDescent="0.25" r="143" customHeight="1" ht="15">
      <c r="A143" s="20">
        <v>226</v>
      </c>
      <c r="B143" s="6">
        <v>2</v>
      </c>
      <c r="C143" s="7" t="s">
        <v>413</v>
      </c>
      <c r="D143" s="8">
        <f>REPT("   ", B143*2) &amp; C143</f>
      </c>
      <c r="E143" s="7" t="s">
        <v>35</v>
      </c>
      <c r="F143" s="7" t="s">
        <v>475</v>
      </c>
      <c r="G143" s="7" t="s">
        <v>476</v>
      </c>
      <c r="H143" s="7"/>
      <c r="I143" s="9"/>
      <c r="J143" s="14"/>
      <c r="K143" s="14">
        <f>8844770/N143*8.15527886031535</f>
      </c>
      <c r="L143" s="15" t="s">
        <v>637</v>
      </c>
      <c r="M143" s="7" t="s">
        <v>672</v>
      </c>
      <c r="N143" s="39">
        <v>610.21</v>
      </c>
      <c r="O143" s="15" t="s">
        <v>673</v>
      </c>
      <c r="P143" s="39">
        <v>0.6</v>
      </c>
      <c r="Q143" s="14">
        <v>2023</v>
      </c>
      <c r="R143" s="15" t="s">
        <v>86</v>
      </c>
      <c r="S143" s="128" t="s">
        <v>674</v>
      </c>
      <c r="T143" s="129" t="s">
        <v>675</v>
      </c>
      <c r="U143" s="24" t="s">
        <v>676</v>
      </c>
      <c r="V143" s="15" t="s">
        <v>677</v>
      </c>
      <c r="W143" s="4" t="s">
        <v>287</v>
      </c>
      <c r="X143" s="12">
        <f>0.9*$J143</f>
      </c>
      <c r="Y143" s="12">
        <f>1.5*J143</f>
      </c>
      <c r="Z143" s="4" t="s">
        <v>45</v>
      </c>
      <c r="AA143" s="13">
        <f>0.9*K143</f>
      </c>
      <c r="AB143" s="13">
        <f>1.3*K143</f>
      </c>
      <c r="AC143" s="4" t="s">
        <v>45</v>
      </c>
      <c r="AD143" s="13">
        <v>0.1</v>
      </c>
      <c r="AE143" s="11">
        <v>1</v>
      </c>
      <c r="AF143" s="11">
        <v>0</v>
      </c>
      <c r="AG143" s="4" t="s">
        <v>46</v>
      </c>
      <c r="AH143" s="61"/>
      <c r="AI143" s="61"/>
      <c r="AJ143" s="61"/>
    </row>
    <row x14ac:dyDescent="0.25" r="144" customHeight="1" ht="15">
      <c r="A144" s="20">
        <v>227</v>
      </c>
      <c r="B144" s="6">
        <v>2</v>
      </c>
      <c r="C144" s="7" t="s">
        <v>414</v>
      </c>
      <c r="D144" s="8">
        <f>REPT("   ", B144*2) &amp; C144</f>
      </c>
      <c r="E144" s="7" t="s">
        <v>35</v>
      </c>
      <c r="F144" s="9"/>
      <c r="G144" s="7"/>
      <c r="H144" s="7"/>
      <c r="I144" s="9"/>
      <c r="J144" s="14">
        <v>8500000</v>
      </c>
      <c r="K144" s="14"/>
      <c r="L144" s="15"/>
      <c r="M144" s="7"/>
      <c r="N144" s="20"/>
      <c r="O144" s="15"/>
      <c r="P144" s="20"/>
      <c r="Q144" s="14">
        <v>2023</v>
      </c>
      <c r="R144" s="15" t="s">
        <v>68</v>
      </c>
      <c r="S144" s="130"/>
      <c r="T144" s="130"/>
      <c r="U144" s="24" t="s">
        <v>678</v>
      </c>
      <c r="V144" s="15" t="s">
        <v>679</v>
      </c>
      <c r="W144" s="4" t="s">
        <v>287</v>
      </c>
      <c r="X144" s="12">
        <f>0.9*$J144</f>
      </c>
      <c r="Y144" s="12">
        <f>1.5*J144</f>
      </c>
      <c r="Z144" s="4" t="s">
        <v>45</v>
      </c>
      <c r="AA144" s="11">
        <f>0.9*K144</f>
      </c>
      <c r="AB144" s="11">
        <f>1.3*K144</f>
      </c>
      <c r="AC144" s="4" t="s">
        <v>45</v>
      </c>
      <c r="AD144" s="13">
        <v>0.1</v>
      </c>
      <c r="AE144" s="11">
        <v>1</v>
      </c>
      <c r="AF144" s="11">
        <v>0</v>
      </c>
      <c r="AG144" s="4" t="s">
        <v>46</v>
      </c>
      <c r="AH144" s="61"/>
      <c r="AI144" s="61"/>
      <c r="AJ144" s="61"/>
    </row>
    <row x14ac:dyDescent="0.25" r="145" customHeight="1" ht="15">
      <c r="A145" s="20">
        <v>228</v>
      </c>
      <c r="B145" s="6">
        <v>2</v>
      </c>
      <c r="C145" s="7" t="s">
        <v>415</v>
      </c>
      <c r="D145" s="8">
        <f>REPT("   ", B145*2) &amp; C145</f>
      </c>
      <c r="E145" s="7" t="s">
        <v>35</v>
      </c>
      <c r="F145" s="9"/>
      <c r="G145" s="7"/>
      <c r="H145" s="7"/>
      <c r="I145" s="9"/>
      <c r="J145" s="14">
        <f>MARVEL_Cost!C44</f>
      </c>
      <c r="K145" s="14"/>
      <c r="L145" s="15"/>
      <c r="M145" s="7"/>
      <c r="N145" s="20"/>
      <c r="O145" s="15"/>
      <c r="P145" s="20"/>
      <c r="Q145" s="14">
        <v>2024</v>
      </c>
      <c r="R145" s="15" t="s">
        <v>86</v>
      </c>
      <c r="S145" s="130"/>
      <c r="T145" s="130"/>
      <c r="U145" s="15"/>
      <c r="V145" s="15"/>
      <c r="W145" s="4" t="s">
        <v>287</v>
      </c>
      <c r="X145" s="12">
        <f>0.9*$J145</f>
      </c>
      <c r="Y145" s="12">
        <f>1.5*J145</f>
      </c>
      <c r="Z145" s="4" t="s">
        <v>45</v>
      </c>
      <c r="AA145" s="11">
        <f>0.9*K145</f>
      </c>
      <c r="AB145" s="11">
        <f>1.3*K145</f>
      </c>
      <c r="AC145" s="4" t="s">
        <v>45</v>
      </c>
      <c r="AD145" s="13">
        <v>0.1</v>
      </c>
      <c r="AE145" s="11">
        <v>1</v>
      </c>
      <c r="AF145" s="11">
        <v>0</v>
      </c>
      <c r="AG145" s="4" t="s">
        <v>46</v>
      </c>
      <c r="AH145" s="61"/>
      <c r="AI145" s="61"/>
      <c r="AJ145" s="61"/>
    </row>
    <row x14ac:dyDescent="0.25" r="146" customHeight="1" ht="15">
      <c r="A146" s="6">
        <v>23</v>
      </c>
      <c r="B146" s="6">
        <f>IF(ISNUMBER(A146),
IF(AND(A146=INT(A146), MOD(A146, 10) = 0), 0,
IF(AND(A146=INT(A146), LEN(A146)=2), 1,
IF(AND(A146=INT(A146), LEN(A146)=3), 2,
LEN(A146) - FIND(".", A146) + 2)
)
),
"")</f>
      </c>
      <c r="C146" s="7" t="s">
        <v>680</v>
      </c>
      <c r="D146" s="8">
        <f>REPT("   ", B146*2) &amp; C146</f>
      </c>
      <c r="E146" s="9"/>
      <c r="F146" s="9"/>
      <c r="G146" s="7"/>
      <c r="H146" s="7"/>
      <c r="I146" s="9"/>
      <c r="J146" s="14"/>
      <c r="K146" s="14"/>
      <c r="L146" s="15"/>
      <c r="M146" s="7"/>
      <c r="N146" s="20"/>
      <c r="O146" s="15"/>
      <c r="P146" s="20"/>
      <c r="Q146" s="14"/>
      <c r="R146" s="15"/>
      <c r="S146" s="130"/>
      <c r="T146" s="130"/>
      <c r="U146" s="15"/>
      <c r="V146" s="15"/>
      <c r="W146" s="4"/>
      <c r="X146" s="12"/>
      <c r="Y146" s="12"/>
      <c r="Z146" s="4"/>
      <c r="AA146" s="13"/>
      <c r="AB146" s="13"/>
      <c r="AC146" s="4"/>
      <c r="AD146" s="13"/>
      <c r="AE146" s="11"/>
      <c r="AF146" s="11"/>
      <c r="AG146" s="4"/>
      <c r="AH146" s="61"/>
      <c r="AI146" s="61"/>
      <c r="AJ146" s="61"/>
    </row>
    <row x14ac:dyDescent="0.25" r="147" customHeight="1" ht="15">
      <c r="A147" s="20">
        <v>232</v>
      </c>
      <c r="B147" s="6">
        <f>IF(ISNUMBER(A147),
IF(AND(A147=INT(A147), MOD(A147, 10) = 0), 0,
IF(AND(A147=INT(A147), LEN(A147)=2), 1,
IF(AND(A147=INT(A147), LEN(A147)=3), 2,
LEN(A147) - FIND(".", A147) + 2)
)
),
"")</f>
      </c>
      <c r="C147" s="7" t="s">
        <v>417</v>
      </c>
      <c r="D147" s="8">
        <f>REPT("   ", B147*2) &amp; C147</f>
      </c>
      <c r="E147" s="9"/>
      <c r="F147" s="9"/>
      <c r="G147" s="7"/>
      <c r="H147" s="7"/>
      <c r="I147" s="9"/>
      <c r="J147" s="14"/>
      <c r="K147" s="14"/>
      <c r="L147" s="15"/>
      <c r="M147" s="7"/>
      <c r="N147" s="20"/>
      <c r="O147" s="15"/>
      <c r="P147" s="20"/>
      <c r="Q147" s="14"/>
      <c r="R147" s="15"/>
      <c r="S147" s="130"/>
      <c r="T147" s="130"/>
      <c r="U147" s="15"/>
      <c r="V147" s="15"/>
      <c r="W147" s="4"/>
      <c r="X147" s="12"/>
      <c r="Y147" s="12"/>
      <c r="Z147" s="4"/>
      <c r="AA147" s="13"/>
      <c r="AB147" s="13"/>
      <c r="AC147" s="4"/>
      <c r="AD147" s="13"/>
      <c r="AE147" s="11"/>
      <c r="AF147" s="11"/>
      <c r="AG147" s="4"/>
      <c r="AH147" s="61"/>
      <c r="AI147" s="61"/>
      <c r="AJ147" s="61"/>
    </row>
    <row x14ac:dyDescent="0.25" r="148" customHeight="1" ht="15">
      <c r="A148" s="23">
        <v>232.1</v>
      </c>
      <c r="B148" s="6">
        <f>IF(ISNUMBER(A148),
IF(AND(A148=INT(A148), MOD(A148, 10) = 0), 0,
IF(AND(A148=INT(A148), LEN(A148)=2), 1,
IF(AND(A148=INT(A148), LEN(A148)=3), 2,
LEN(A148) - FIND(".", A148) + 2)
)
),
"")</f>
      </c>
      <c r="C148" s="7" t="s">
        <v>418</v>
      </c>
      <c r="D148" s="8">
        <f>REPT("   ", B148*2) &amp; C148</f>
      </c>
      <c r="E148" s="7" t="s">
        <v>35</v>
      </c>
      <c r="F148" s="9"/>
      <c r="G148" s="7"/>
      <c r="H148" s="7"/>
      <c r="I148" s="9"/>
      <c r="J148" s="14"/>
      <c r="K148" s="14">
        <v>12504</v>
      </c>
      <c r="L148" s="15" t="s">
        <v>681</v>
      </c>
      <c r="M148" s="15" t="s">
        <v>682</v>
      </c>
      <c r="N148" s="14">
        <v>1</v>
      </c>
      <c r="O148" s="15"/>
      <c r="P148" s="23">
        <v>0.777</v>
      </c>
      <c r="Q148" s="14">
        <v>2023</v>
      </c>
      <c r="R148" s="15" t="s">
        <v>86</v>
      </c>
      <c r="S148" s="130"/>
      <c r="T148" s="130"/>
      <c r="U148" s="24" t="s">
        <v>683</v>
      </c>
      <c r="V148" s="15"/>
      <c r="W148" s="4" t="s">
        <v>290</v>
      </c>
      <c r="X148" s="12">
        <f>0.9*$J148</f>
      </c>
      <c r="Y148" s="12">
        <f>1.5*J148</f>
      </c>
      <c r="Z148" s="4" t="s">
        <v>45</v>
      </c>
      <c r="AA148" s="13">
        <f>0.9*K148</f>
      </c>
      <c r="AB148" s="13">
        <f>1.3*K148</f>
      </c>
      <c r="AC148" s="4" t="s">
        <v>45</v>
      </c>
      <c r="AD148" s="13">
        <v>0.1</v>
      </c>
      <c r="AE148" s="11">
        <v>1</v>
      </c>
      <c r="AF148" s="11">
        <v>0</v>
      </c>
      <c r="AG148" s="4" t="s">
        <v>46</v>
      </c>
      <c r="AH148" s="61"/>
      <c r="AI148" s="61"/>
      <c r="AJ148" s="61"/>
    </row>
    <row x14ac:dyDescent="0.25" r="149" customHeight="1" ht="15">
      <c r="A149" s="20">
        <v>236</v>
      </c>
      <c r="B149" s="6">
        <f>IF(ISNUMBER(A149),
IF(AND(A149=INT(A149), MOD(A149, 10) = 0), 0,
IF(AND(A149=INT(A149), LEN(A149)=2), 1,
IF(AND(A149=INT(A149), LEN(A149)=3), 2,
LEN(A149) - FIND(".", A149) + 2)
)
),
"")</f>
      </c>
      <c r="C149" s="7" t="s">
        <v>684</v>
      </c>
      <c r="D149" s="8">
        <f>REPT("   ", B149*2) &amp; C149</f>
      </c>
      <c r="E149" s="7" t="s">
        <v>35</v>
      </c>
      <c r="F149" s="9"/>
      <c r="G149" s="7"/>
      <c r="H149" s="7"/>
      <c r="I149" s="9"/>
      <c r="J149" s="14">
        <v>1000000</v>
      </c>
      <c r="K149" s="14"/>
      <c r="L149" s="15"/>
      <c r="M149" s="15"/>
      <c r="N149" s="20"/>
      <c r="O149" s="15"/>
      <c r="P149" s="20"/>
      <c r="Q149" s="14">
        <v>2023</v>
      </c>
      <c r="R149" s="15" t="s">
        <v>86</v>
      </c>
      <c r="S149" s="118"/>
      <c r="T149" s="118"/>
      <c r="U149" s="24" t="s">
        <v>678</v>
      </c>
      <c r="V149" s="15"/>
      <c r="W149" s="4" t="s">
        <v>287</v>
      </c>
      <c r="X149" s="12">
        <f>0.9*$J149</f>
      </c>
      <c r="Y149" s="12">
        <f>1.5*J149</f>
      </c>
      <c r="Z149" s="4" t="s">
        <v>45</v>
      </c>
      <c r="AA149" s="13"/>
      <c r="AB149" s="13"/>
      <c r="AC149" s="4"/>
      <c r="AD149" s="13"/>
      <c r="AE149" s="11"/>
      <c r="AF149" s="11"/>
      <c r="AG149" s="4"/>
      <c r="AH149" s="61"/>
      <c r="AI149" s="61"/>
      <c r="AJ149" s="61"/>
    </row>
    <row x14ac:dyDescent="0.25" r="150" customHeight="1" ht="15.75">
      <c r="A150" s="6">
        <v>24</v>
      </c>
      <c r="B150" s="6">
        <f>IF(ISNUMBER(A150),
IF(AND(A150=INT(A150), MOD(A150, 10) = 0), 0,
IF(AND(A150=INT(A150), LEN(A150)=2), 1,
IF(AND(A150=INT(A150), LEN(A150)=3), 2,
LEN(A150) - FIND(".", A150) + 2)
)
),
"")</f>
      </c>
      <c r="C150" s="7" t="s">
        <v>196</v>
      </c>
      <c r="D150" s="8">
        <f>REPT("   ", B150*2) &amp; C150</f>
      </c>
      <c r="E150" s="9"/>
      <c r="F150" s="9"/>
      <c r="G150" s="7"/>
      <c r="H150" s="7"/>
      <c r="I150" s="9"/>
      <c r="J150" s="14"/>
      <c r="K150" s="14"/>
      <c r="L150" s="15"/>
      <c r="M150" s="7"/>
      <c r="N150" s="20"/>
      <c r="O150" s="15"/>
      <c r="P150" s="20"/>
      <c r="Q150" s="14"/>
      <c r="R150" s="15"/>
      <c r="S150" s="128"/>
      <c r="T150" s="129"/>
      <c r="U150" s="15"/>
      <c r="V150" s="15"/>
      <c r="W150" s="4"/>
      <c r="X150" s="12"/>
      <c r="Y150" s="12"/>
      <c r="Z150" s="4"/>
      <c r="AA150" s="13"/>
      <c r="AB150" s="13"/>
      <c r="AC150" s="4"/>
      <c r="AD150" s="13"/>
      <c r="AE150" s="11"/>
      <c r="AF150" s="11"/>
      <c r="AG150" s="4"/>
      <c r="AH150" s="61"/>
      <c r="AI150" s="61"/>
      <c r="AJ150" s="61"/>
    </row>
    <row x14ac:dyDescent="0.25" r="151" customHeight="1" ht="15">
      <c r="A151" s="6">
        <v>241</v>
      </c>
      <c r="B151" s="6">
        <f>IF(ISNUMBER(A151),
IF(AND(A151=INT(A151), MOD(A151, 10) = 0), 0,
IF(AND(A151=INT(A151), LEN(A151)=2), 1,
IF(AND(A151=INT(A151), LEN(A151)=3), 2,
LEN(A151) - FIND(".", A151) + 2)
)
),
"")</f>
      </c>
      <c r="C151" s="7" t="s">
        <v>197</v>
      </c>
      <c r="D151" s="8">
        <f>REPT("   ", B151*2) &amp; C151</f>
      </c>
      <c r="E151" s="7" t="s">
        <v>35</v>
      </c>
      <c r="F151" s="9"/>
      <c r="G151" s="7"/>
      <c r="H151" s="7"/>
      <c r="I151" s="9"/>
      <c r="J151" s="14"/>
      <c r="K151" s="14">
        <f>14424707.2061682/N151</f>
      </c>
      <c r="L151" s="15" t="s">
        <v>48</v>
      </c>
      <c r="M151" s="15" t="s">
        <v>49</v>
      </c>
      <c r="N151" s="14">
        <v>1144</v>
      </c>
      <c r="O151" s="15" t="s">
        <v>50</v>
      </c>
      <c r="P151" s="23">
        <v>0.6</v>
      </c>
      <c r="Q151" s="14">
        <v>2018</v>
      </c>
      <c r="R151" s="15" t="s">
        <v>86</v>
      </c>
      <c r="S151" s="130"/>
      <c r="T151" s="130"/>
      <c r="U151" s="15"/>
      <c r="V151" s="15"/>
      <c r="W151" s="4" t="s">
        <v>290</v>
      </c>
      <c r="X151" s="12">
        <f>0.9*$J151</f>
      </c>
      <c r="Y151" s="12">
        <f>1.5*J151</f>
      </c>
      <c r="Z151" s="4"/>
      <c r="AA151" s="13">
        <f>0.9*K151</f>
      </c>
      <c r="AB151" s="13">
        <f>1.3*K151</f>
      </c>
      <c r="AC151" s="4" t="s">
        <v>45</v>
      </c>
      <c r="AD151" s="13">
        <v>0.1</v>
      </c>
      <c r="AE151" s="11">
        <v>1</v>
      </c>
      <c r="AF151" s="11">
        <v>0</v>
      </c>
      <c r="AG151" s="4" t="s">
        <v>46</v>
      </c>
      <c r="AH151" s="61"/>
      <c r="AI151" s="61"/>
      <c r="AJ151" s="61"/>
    </row>
    <row x14ac:dyDescent="0.25" r="152" customHeight="1" ht="15">
      <c r="A152" s="6">
        <v>242</v>
      </c>
      <c r="B152" s="6">
        <f>IF(ISNUMBER(A152),
IF(AND(A152=INT(A152), MOD(A152, 10) = 0), 0,
IF(AND(A152=INT(A152), LEN(A152)=2), 1,
IF(AND(A152=INT(A152), LEN(A152)=3), 2,
LEN(A152) - FIND(".", A152) + 2)
)
),
"")</f>
      </c>
      <c r="C152" s="7" t="s">
        <v>201</v>
      </c>
      <c r="D152" s="8">
        <f>REPT("   ", B152*2) &amp; C152</f>
      </c>
      <c r="E152" s="7" t="s">
        <v>35</v>
      </c>
      <c r="F152" s="9"/>
      <c r="G152" s="7"/>
      <c r="H152" s="7"/>
      <c r="I152" s="9"/>
      <c r="J152" s="14"/>
      <c r="K152" s="14">
        <f>11992641.3775456/N151</f>
      </c>
      <c r="L152" s="15" t="s">
        <v>48</v>
      </c>
      <c r="M152" s="15" t="s">
        <v>49</v>
      </c>
      <c r="N152" s="14">
        <v>1144</v>
      </c>
      <c r="O152" s="15" t="s">
        <v>50</v>
      </c>
      <c r="P152" s="23">
        <v>0.6</v>
      </c>
      <c r="Q152" s="14">
        <v>2018</v>
      </c>
      <c r="R152" s="15" t="s">
        <v>86</v>
      </c>
      <c r="S152" s="130"/>
      <c r="T152" s="130"/>
      <c r="U152" s="15"/>
      <c r="V152" s="15"/>
      <c r="W152" s="4" t="s">
        <v>290</v>
      </c>
      <c r="X152" s="12">
        <f>0.9*$J152</f>
      </c>
      <c r="Y152" s="12">
        <f>1.5*J152</f>
      </c>
      <c r="Z152" s="4"/>
      <c r="AA152" s="13">
        <f>0.9*K152</f>
      </c>
      <c r="AB152" s="13">
        <f>1.3*K152</f>
      </c>
      <c r="AC152" s="4" t="s">
        <v>45</v>
      </c>
      <c r="AD152" s="13">
        <v>0.1</v>
      </c>
      <c r="AE152" s="11">
        <v>1</v>
      </c>
      <c r="AF152" s="11">
        <v>0</v>
      </c>
      <c r="AG152" s="4" t="s">
        <v>46</v>
      </c>
      <c r="AH152" s="61"/>
      <c r="AI152" s="61"/>
      <c r="AJ152" s="61"/>
    </row>
    <row x14ac:dyDescent="0.25" r="153" customHeight="1" ht="15">
      <c r="A153" s="6">
        <v>243</v>
      </c>
      <c r="B153" s="6">
        <f>IF(ISNUMBER(A153),
IF(AND(A153=INT(A153), MOD(A153, 10) = 0), 0,
IF(AND(A153=INT(A153), LEN(A153)=2), 1,
IF(AND(A153=INT(A153), LEN(A153)=3), 2,
LEN(A153) - FIND(".", A153) + 2)
)
),
"")</f>
      </c>
      <c r="C153" s="7" t="s">
        <v>202</v>
      </c>
      <c r="D153" s="8">
        <f>REPT("   ", B153*2) &amp; C153</f>
      </c>
      <c r="E153" s="7" t="s">
        <v>35</v>
      </c>
      <c r="F153" s="9"/>
      <c r="G153" s="7"/>
      <c r="H153" s="7"/>
      <c r="I153" s="9"/>
      <c r="J153" s="14"/>
      <c r="K153" s="14">
        <f>3894246.37400843/N151</f>
      </c>
      <c r="L153" s="15" t="s">
        <v>48</v>
      </c>
      <c r="M153" s="15" t="s">
        <v>49</v>
      </c>
      <c r="N153" s="14">
        <v>1144</v>
      </c>
      <c r="O153" s="15" t="s">
        <v>50</v>
      </c>
      <c r="P153" s="23">
        <v>0.6</v>
      </c>
      <c r="Q153" s="14">
        <v>2018</v>
      </c>
      <c r="R153" s="15" t="s">
        <v>86</v>
      </c>
      <c r="S153" s="130"/>
      <c r="T153" s="130"/>
      <c r="U153" s="15"/>
      <c r="V153" s="15"/>
      <c r="W153" s="4" t="s">
        <v>290</v>
      </c>
      <c r="X153" s="12">
        <f>0.9*$J153</f>
      </c>
      <c r="Y153" s="12">
        <f>1.5*J153</f>
      </c>
      <c r="Z153" s="4"/>
      <c r="AA153" s="13">
        <f>0.9*K153</f>
      </c>
      <c r="AB153" s="13">
        <f>1.3*K153</f>
      </c>
      <c r="AC153" s="4" t="s">
        <v>45</v>
      </c>
      <c r="AD153" s="13">
        <v>0.1</v>
      </c>
      <c r="AE153" s="11">
        <v>1</v>
      </c>
      <c r="AF153" s="11">
        <v>0</v>
      </c>
      <c r="AG153" s="4" t="s">
        <v>46</v>
      </c>
      <c r="AH153" s="61"/>
      <c r="AI153" s="61"/>
      <c r="AJ153" s="61"/>
    </row>
    <row x14ac:dyDescent="0.25" r="154" customHeight="1" ht="15">
      <c r="A154" s="6">
        <v>244</v>
      </c>
      <c r="B154" s="6">
        <f>IF(ISNUMBER(A154),
IF(AND(A154=INT(A154), MOD(A154, 10) = 0), 0,
IF(AND(A154=INT(A154), LEN(A154)=2), 1,
IF(AND(A154=INT(A154), LEN(A154)=3), 2,
LEN(A154) - FIND(".", A154) + 2)
)
),
"")</f>
      </c>
      <c r="C154" s="7" t="s">
        <v>203</v>
      </c>
      <c r="D154" s="8">
        <f>REPT("   ", B154*2) &amp; C154</f>
      </c>
      <c r="E154" s="7" t="s">
        <v>35</v>
      </c>
      <c r="F154" s="9"/>
      <c r="G154" s="7"/>
      <c r="H154" s="7"/>
      <c r="I154" s="9"/>
      <c r="J154" s="14"/>
      <c r="K154" s="14">
        <f>11183911.9256997/N151</f>
      </c>
      <c r="L154" s="15" t="s">
        <v>48</v>
      </c>
      <c r="M154" s="15" t="s">
        <v>49</v>
      </c>
      <c r="N154" s="14">
        <v>1144</v>
      </c>
      <c r="O154" s="15" t="s">
        <v>50</v>
      </c>
      <c r="P154" s="23">
        <v>0.6</v>
      </c>
      <c r="Q154" s="14">
        <v>2018</v>
      </c>
      <c r="R154" s="15" t="s">
        <v>86</v>
      </c>
      <c r="S154" s="130"/>
      <c r="T154" s="130"/>
      <c r="U154" s="15"/>
      <c r="V154" s="15"/>
      <c r="W154" s="4" t="s">
        <v>290</v>
      </c>
      <c r="X154" s="12">
        <f>0.9*$J154</f>
      </c>
      <c r="Y154" s="12">
        <f>1.5*J154</f>
      </c>
      <c r="Z154" s="4"/>
      <c r="AA154" s="13">
        <f>0.9*K154</f>
      </c>
      <c r="AB154" s="13">
        <f>1.3*K154</f>
      </c>
      <c r="AC154" s="4" t="s">
        <v>45</v>
      </c>
      <c r="AD154" s="13">
        <v>0.1</v>
      </c>
      <c r="AE154" s="11">
        <v>1</v>
      </c>
      <c r="AF154" s="11">
        <v>0</v>
      </c>
      <c r="AG154" s="4" t="s">
        <v>46</v>
      </c>
      <c r="AH154" s="61"/>
      <c r="AI154" s="61"/>
      <c r="AJ154" s="61"/>
    </row>
    <row x14ac:dyDescent="0.25" r="155" customHeight="1" ht="15">
      <c r="A155" s="6">
        <v>245</v>
      </c>
      <c r="B155" s="6">
        <f>IF(ISNUMBER(A155),
IF(AND(A155=INT(A155), MOD(A155, 10) = 0), 0,
IF(AND(A155=INT(A155), LEN(A155)=2), 1,
IF(AND(A155=INT(A155), LEN(A155)=3), 2,
LEN(A155) - FIND(".", A155) + 2)
)
),
"")</f>
      </c>
      <c r="C155" s="7" t="s">
        <v>204</v>
      </c>
      <c r="D155" s="8">
        <f>REPT("   ", B155*2) &amp; C155</f>
      </c>
      <c r="E155" s="7" t="s">
        <v>35</v>
      </c>
      <c r="F155" s="9"/>
      <c r="G155" s="7"/>
      <c r="H155" s="7"/>
      <c r="I155" s="9"/>
      <c r="J155" s="14"/>
      <c r="K155" s="14">
        <f>60312483.673456/N151</f>
      </c>
      <c r="L155" s="15" t="s">
        <v>48</v>
      </c>
      <c r="M155" s="15" t="s">
        <v>49</v>
      </c>
      <c r="N155" s="14">
        <v>1144</v>
      </c>
      <c r="O155" s="15" t="s">
        <v>50</v>
      </c>
      <c r="P155" s="23">
        <v>0.6</v>
      </c>
      <c r="Q155" s="14">
        <v>2018</v>
      </c>
      <c r="R155" s="15" t="s">
        <v>86</v>
      </c>
      <c r="S155" s="130"/>
      <c r="T155" s="130"/>
      <c r="U155" s="15"/>
      <c r="V155" s="15"/>
      <c r="W155" s="4" t="s">
        <v>290</v>
      </c>
      <c r="X155" s="12">
        <f>0.9*$J155</f>
      </c>
      <c r="Y155" s="12">
        <f>1.5*J155</f>
      </c>
      <c r="Z155" s="4"/>
      <c r="AA155" s="13">
        <f>0.9*K155</f>
      </c>
      <c r="AB155" s="13">
        <f>1.3*K155</f>
      </c>
      <c r="AC155" s="4" t="s">
        <v>45</v>
      </c>
      <c r="AD155" s="13">
        <v>0.1</v>
      </c>
      <c r="AE155" s="11">
        <v>1</v>
      </c>
      <c r="AF155" s="11">
        <v>0</v>
      </c>
      <c r="AG155" s="4" t="s">
        <v>46</v>
      </c>
      <c r="AH155" s="61"/>
      <c r="AI155" s="61"/>
      <c r="AJ155" s="61"/>
    </row>
    <row x14ac:dyDescent="0.25" r="156" customHeight="1" ht="30">
      <c r="A156" s="6">
        <v>246</v>
      </c>
      <c r="B156" s="6">
        <f>IF(ISNUMBER(A156),
IF(AND(A156=INT(A156), MOD(A156, 10) = 0), 0,
IF(AND(A156=INT(A156), LEN(A156)=2), 1,
IF(AND(A156=INT(A156), LEN(A156)=3), 2,
LEN(A156) - FIND(".", A156) + 2)
)
),
"")</f>
      </c>
      <c r="C156" s="7" t="s">
        <v>205</v>
      </c>
      <c r="D156" s="8">
        <f>REPT("   ", B156*2) &amp; C156</f>
      </c>
      <c r="E156" s="7" t="s">
        <v>35</v>
      </c>
      <c r="F156" s="9"/>
      <c r="G156" s="7"/>
      <c r="H156" s="7"/>
      <c r="I156" s="9"/>
      <c r="J156" s="14"/>
      <c r="K156" s="14">
        <f>45613077.4753702/N151</f>
      </c>
      <c r="L156" s="15" t="s">
        <v>48</v>
      </c>
      <c r="M156" s="15" t="s">
        <v>49</v>
      </c>
      <c r="N156" s="14">
        <v>1144</v>
      </c>
      <c r="O156" s="15" t="s">
        <v>50</v>
      </c>
      <c r="P156" s="23">
        <v>0.6</v>
      </c>
      <c r="Q156" s="14">
        <v>2018</v>
      </c>
      <c r="R156" s="15" t="s">
        <v>86</v>
      </c>
      <c r="S156" s="118"/>
      <c r="T156" s="118"/>
      <c r="U156" s="15"/>
      <c r="V156" s="15"/>
      <c r="W156" s="4" t="s">
        <v>290</v>
      </c>
      <c r="X156" s="12">
        <f>0.9*$J156</f>
      </c>
      <c r="Y156" s="12">
        <f>1.5*J156</f>
      </c>
      <c r="Z156" s="4"/>
      <c r="AA156" s="13">
        <f>0.9*K156</f>
      </c>
      <c r="AB156" s="13">
        <f>1.3*K156</f>
      </c>
      <c r="AC156" s="4" t="s">
        <v>45</v>
      </c>
      <c r="AD156" s="13">
        <v>0.1</v>
      </c>
      <c r="AE156" s="11">
        <v>1</v>
      </c>
      <c r="AF156" s="11">
        <v>0</v>
      </c>
      <c r="AG156" s="4" t="s">
        <v>46</v>
      </c>
      <c r="AH156" s="61"/>
      <c r="AI156" s="61"/>
      <c r="AJ156" s="61"/>
    </row>
    <row x14ac:dyDescent="0.25" r="157" customHeight="1" ht="15">
      <c r="A157" s="6">
        <v>25</v>
      </c>
      <c r="B157" s="6">
        <f>IF(ISNUMBER(A157),
IF(AND(A157=INT(A157), MOD(A157, 10) = 0), 0,
IF(AND(A157=INT(A157), LEN(A157)=2), 1,
IF(AND(A157=INT(A157), LEN(A157)=3), 2,
LEN(A157) - FIND(".", A157) + 2)
)
),
"")</f>
      </c>
      <c r="C157" s="7" t="s">
        <v>422</v>
      </c>
      <c r="D157" s="8">
        <f>REPT("   ", B157*2) &amp; C157</f>
      </c>
      <c r="E157" s="9"/>
      <c r="F157" s="9"/>
      <c r="G157" s="7"/>
      <c r="H157" s="7"/>
      <c r="I157" s="9"/>
      <c r="J157" s="14"/>
      <c r="K157" s="14"/>
      <c r="L157" s="15"/>
      <c r="M157" s="7"/>
      <c r="N157" s="20"/>
      <c r="O157" s="15"/>
      <c r="P157" s="20"/>
      <c r="Q157" s="14"/>
      <c r="R157" s="15"/>
      <c r="S157" s="7"/>
      <c r="T157" s="15"/>
      <c r="U157" s="15"/>
      <c r="V157" s="15"/>
      <c r="W157" s="4"/>
      <c r="X157" s="12"/>
      <c r="Y157" s="12"/>
      <c r="Z157" s="4"/>
      <c r="AA157" s="13"/>
      <c r="AB157" s="13"/>
      <c r="AC157" s="4"/>
      <c r="AD157" s="13"/>
      <c r="AE157" s="11"/>
      <c r="AF157" s="11"/>
      <c r="AG157" s="4"/>
      <c r="AH157" s="61"/>
      <c r="AI157" s="61"/>
      <c r="AJ157" s="61"/>
    </row>
    <row x14ac:dyDescent="0.25" r="158" customHeight="1" ht="28.5">
      <c r="A158" s="20">
        <v>251</v>
      </c>
      <c r="B158" s="6">
        <f>IF(ISNUMBER(A158),
IF(AND(A158=INT(A158), MOD(A158, 10) = 0), 0,
IF(AND(A158=INT(A158), LEN(A158)=2), 1,
IF(AND(A158=INT(A158), LEN(A158)=3), 2,
LEN(A158) - FIND(".", A158) + 2)
)
),
"")</f>
      </c>
      <c r="C158" s="7" t="s">
        <v>685</v>
      </c>
      <c r="D158" s="8">
        <f>REPT("   ", B158*2) &amp; C158</f>
      </c>
      <c r="E158" s="7" t="s">
        <v>35</v>
      </c>
      <c r="F158" s="9"/>
      <c r="G158" s="7"/>
      <c r="H158" s="7"/>
      <c r="I158" s="9"/>
      <c r="J158" s="14"/>
      <c r="K158" s="14">
        <v>184</v>
      </c>
      <c r="L158" s="15" t="s">
        <v>261</v>
      </c>
      <c r="M158" s="15" t="s">
        <v>686</v>
      </c>
      <c r="N158" s="20"/>
      <c r="O158" s="15"/>
      <c r="P158" s="20"/>
      <c r="Q158" s="14">
        <v>2022</v>
      </c>
      <c r="R158" s="15" t="s">
        <v>294</v>
      </c>
      <c r="S158" s="41" t="s">
        <v>687</v>
      </c>
      <c r="T158" s="41" t="s">
        <v>688</v>
      </c>
      <c r="U158" s="15"/>
      <c r="V158" s="15"/>
      <c r="W158" s="4" t="s">
        <v>44</v>
      </c>
      <c r="X158" s="12">
        <f>0.9*$J158</f>
      </c>
      <c r="Y158" s="12">
        <f>1.5*J158</f>
      </c>
      <c r="Z158" s="4" t="s">
        <v>45</v>
      </c>
      <c r="AA158" s="13">
        <f>0.9*K158</f>
      </c>
      <c r="AB158" s="13">
        <f>1.3*K158</f>
      </c>
      <c r="AC158" s="4" t="s">
        <v>45</v>
      </c>
      <c r="AD158" s="13">
        <v>0.1</v>
      </c>
      <c r="AE158" s="11">
        <v>1</v>
      </c>
      <c r="AF158" s="11">
        <v>0</v>
      </c>
      <c r="AG158" s="4" t="s">
        <v>46</v>
      </c>
      <c r="AH158" s="61"/>
      <c r="AI158" s="61"/>
      <c r="AJ158" s="61"/>
    </row>
    <row x14ac:dyDescent="0.25" r="159" customHeight="1" ht="15">
      <c r="A159" s="20">
        <v>252</v>
      </c>
      <c r="B159" s="6">
        <f>IF(ISNUMBER(A159),
IF(AND(A159=INT(A159), MOD(A159, 10) = 0), 0,
IF(AND(A159=INT(A159), LEN(A159)=2), 1,
IF(AND(A159=INT(A159), LEN(A159)=3), 2,
LEN(A159) - FIND(".", A159) + 2)
)
),
"")</f>
      </c>
      <c r="C159" s="7" t="s">
        <v>689</v>
      </c>
      <c r="D159" s="8">
        <f>REPT("   ", B159*2) &amp; C159</f>
      </c>
      <c r="E159" s="7" t="s">
        <v>35</v>
      </c>
      <c r="F159" s="9"/>
      <c r="G159" s="7"/>
      <c r="H159" s="7"/>
      <c r="I159" s="9"/>
      <c r="J159" s="14"/>
      <c r="K159" s="39">
        <v>15.1</v>
      </c>
      <c r="L159" s="15" t="s">
        <v>261</v>
      </c>
      <c r="M159" s="15" t="s">
        <v>686</v>
      </c>
      <c r="N159" s="20"/>
      <c r="O159" s="15"/>
      <c r="P159" s="20"/>
      <c r="Q159" s="14">
        <v>2022</v>
      </c>
      <c r="R159" s="15" t="s">
        <v>294</v>
      </c>
      <c r="S159" s="116"/>
      <c r="T159" s="116"/>
      <c r="U159" s="15"/>
      <c r="V159" s="15"/>
      <c r="W159" s="4" t="s">
        <v>44</v>
      </c>
      <c r="X159" s="12">
        <f>0.9*$J159</f>
      </c>
      <c r="Y159" s="12">
        <f>1.5*J159</f>
      </c>
      <c r="Z159" s="4" t="s">
        <v>45</v>
      </c>
      <c r="AA159" s="13">
        <f>0.9*K159</f>
      </c>
      <c r="AB159" s="13">
        <f>1.3*K159</f>
      </c>
      <c r="AC159" s="4" t="s">
        <v>45</v>
      </c>
      <c r="AD159" s="13">
        <v>0.1</v>
      </c>
      <c r="AE159" s="11">
        <v>1</v>
      </c>
      <c r="AF159" s="11">
        <v>0</v>
      </c>
      <c r="AG159" s="4" t="s">
        <v>46</v>
      </c>
      <c r="AH159" s="61"/>
      <c r="AI159" s="61"/>
      <c r="AJ159" s="61"/>
    </row>
    <row x14ac:dyDescent="0.25" r="160" customHeight="1" ht="15">
      <c r="A160" s="20">
        <v>253</v>
      </c>
      <c r="B160" s="6">
        <f>IF(ISNUMBER(A160),
IF(AND(A160=INT(A160), MOD(A160, 10) = 0), 0,
IF(AND(A160=INT(A160), LEN(A160)=2), 1,
IF(AND(A160=INT(A160), LEN(A160)=3), 2,
LEN(A160) - FIND(".", A160) + 2)
)
),
"")</f>
      </c>
      <c r="C160" s="7" t="s">
        <v>690</v>
      </c>
      <c r="D160" s="8">
        <f>REPT("   ", B160*2) &amp; C160</f>
      </c>
      <c r="E160" s="7" t="s">
        <v>241</v>
      </c>
      <c r="F160" s="9"/>
      <c r="G160" s="7"/>
      <c r="H160" s="7"/>
      <c r="I160" s="9"/>
      <c r="J160" s="14"/>
      <c r="K160" s="39">
        <v>184.2</v>
      </c>
      <c r="L160" s="15" t="s">
        <v>691</v>
      </c>
      <c r="M160" s="7" t="s">
        <v>692</v>
      </c>
      <c r="N160" s="20"/>
      <c r="O160" s="15"/>
      <c r="P160" s="14">
        <v>1</v>
      </c>
      <c r="Q160" s="14">
        <v>2022</v>
      </c>
      <c r="R160" s="15" t="s">
        <v>294</v>
      </c>
      <c r="S160" s="131"/>
      <c r="T160" s="116"/>
      <c r="U160" s="15"/>
      <c r="V160" s="15"/>
      <c r="W160" s="4" t="s">
        <v>44</v>
      </c>
      <c r="X160" s="12">
        <f>0.9*$J160</f>
      </c>
      <c r="Y160" s="12">
        <f>1.5*J160</f>
      </c>
      <c r="Z160" s="4" t="s">
        <v>45</v>
      </c>
      <c r="AA160" s="13">
        <f>0.9*K160</f>
      </c>
      <c r="AB160" s="13">
        <f>1.3*K160</f>
      </c>
      <c r="AC160" s="4" t="s">
        <v>45</v>
      </c>
      <c r="AD160" s="13">
        <v>0.1</v>
      </c>
      <c r="AE160" s="11">
        <v>1</v>
      </c>
      <c r="AF160" s="11">
        <v>0</v>
      </c>
      <c r="AG160" s="4" t="s">
        <v>46</v>
      </c>
      <c r="AH160" s="61"/>
      <c r="AI160" s="61"/>
      <c r="AJ160" s="61"/>
    </row>
    <row x14ac:dyDescent="0.25" r="161" customHeight="1" ht="15">
      <c r="A161" s="20">
        <v>254</v>
      </c>
      <c r="B161" s="6">
        <f>IF(ISNUMBER(A161),
IF(AND(A161=INT(A161), MOD(A161, 10) = 0), 0,
IF(AND(A161=INT(A161), LEN(A161)=2), 1,
IF(AND(A161=INT(A161), LEN(A161)=3), 2,
LEN(A161) - FIND(".", A161) + 2)
)
),
"")</f>
      </c>
      <c r="C161" s="7" t="s">
        <v>424</v>
      </c>
      <c r="D161" s="8">
        <f>REPT("   ", B161*2) &amp; C161</f>
      </c>
      <c r="E161" s="7" t="s">
        <v>35</v>
      </c>
      <c r="F161" s="7" t="s">
        <v>693</v>
      </c>
      <c r="G161" s="7" t="s">
        <v>694</v>
      </c>
      <c r="H161" s="7" t="s">
        <v>306</v>
      </c>
      <c r="I161" s="9" t="s">
        <v>695</v>
      </c>
      <c r="J161" s="14"/>
      <c r="K161" s="14">
        <v>5428</v>
      </c>
      <c r="L161" s="15" t="s">
        <v>261</v>
      </c>
      <c r="M161" s="7" t="s">
        <v>696</v>
      </c>
      <c r="N161" s="20"/>
      <c r="O161" s="15"/>
      <c r="P161" s="20"/>
      <c r="Q161" s="14">
        <v>2024</v>
      </c>
      <c r="R161" s="15" t="s">
        <v>294</v>
      </c>
      <c r="S161" s="116"/>
      <c r="T161" s="116"/>
      <c r="U161" s="15"/>
      <c r="V161" s="15"/>
      <c r="W161" s="4" t="s">
        <v>287</v>
      </c>
      <c r="X161" s="12">
        <f>0.9*$J161</f>
      </c>
      <c r="Y161" s="12">
        <f>1.5*J161</f>
      </c>
      <c r="Z161" s="4" t="s">
        <v>45</v>
      </c>
      <c r="AA161" s="11">
        <v>2038</v>
      </c>
      <c r="AB161" s="11">
        <v>9784</v>
      </c>
      <c r="AC161" s="4" t="s">
        <v>45</v>
      </c>
      <c r="AD161" s="13">
        <v>0.1</v>
      </c>
      <c r="AE161" s="11">
        <v>1</v>
      </c>
      <c r="AF161" s="11">
        <v>0</v>
      </c>
      <c r="AG161" s="4" t="s">
        <v>46</v>
      </c>
      <c r="AH161" s="61"/>
      <c r="AI161" s="61"/>
      <c r="AJ161" s="61"/>
    </row>
    <row x14ac:dyDescent="0.25" r="162" customHeight="1" ht="15">
      <c r="A162" s="20">
        <v>254</v>
      </c>
      <c r="B162" s="6">
        <f>IF(ISNUMBER(A162),
IF(AND(A162=INT(A162), MOD(A162, 10) = 0), 0,
IF(AND(A162=INT(A162), LEN(A162)=2), 1,
IF(AND(A162=INT(A162), LEN(A162)=3), 2,
LEN(A162) - FIND(".", A162) + 2)
)
),
"")</f>
      </c>
      <c r="C162" s="7" t="s">
        <v>424</v>
      </c>
      <c r="D162" s="8">
        <f>REPT("   ", B162*2) &amp; C162</f>
      </c>
      <c r="E162" s="7" t="s">
        <v>35</v>
      </c>
      <c r="F162" s="7" t="s">
        <v>693</v>
      </c>
      <c r="G162" s="7" t="s">
        <v>694</v>
      </c>
      <c r="H162" s="7" t="s">
        <v>306</v>
      </c>
      <c r="I162" s="9" t="s">
        <v>697</v>
      </c>
      <c r="J162" s="14"/>
      <c r="K162" s="14">
        <v>1562</v>
      </c>
      <c r="L162" s="15" t="s">
        <v>261</v>
      </c>
      <c r="M162" s="7" t="s">
        <v>696</v>
      </c>
      <c r="N162" s="20"/>
      <c r="O162" s="15"/>
      <c r="P162" s="20"/>
      <c r="Q162" s="14">
        <v>2024</v>
      </c>
      <c r="R162" s="15" t="s">
        <v>294</v>
      </c>
      <c r="S162" s="116"/>
      <c r="T162" s="132" t="s">
        <v>698</v>
      </c>
      <c r="U162" s="15"/>
      <c r="V162" s="15"/>
      <c r="W162" s="4" t="s">
        <v>287</v>
      </c>
      <c r="X162" s="12">
        <f>0.9*$J162</f>
      </c>
      <c r="Y162" s="12">
        <f>1.5*J162</f>
      </c>
      <c r="Z162" s="4" t="s">
        <v>45</v>
      </c>
      <c r="AA162" s="11">
        <v>1322</v>
      </c>
      <c r="AB162" s="11">
        <v>1803</v>
      </c>
      <c r="AC162" s="4" t="s">
        <v>45</v>
      </c>
      <c r="AD162" s="13">
        <v>0.1</v>
      </c>
      <c r="AE162" s="11">
        <v>1</v>
      </c>
      <c r="AF162" s="11">
        <v>0</v>
      </c>
      <c r="AG162" s="4" t="s">
        <v>46</v>
      </c>
      <c r="AH162" s="61"/>
      <c r="AI162" s="61"/>
      <c r="AJ162" s="61"/>
    </row>
    <row x14ac:dyDescent="0.25" r="163" customHeight="1" ht="15">
      <c r="A163" s="20">
        <v>254</v>
      </c>
      <c r="B163" s="6">
        <f>IF(ISNUMBER(A163),
IF(AND(A163=INT(A163), MOD(A163, 10) = 0), 0,
IF(AND(A163=INT(A163), LEN(A163)=2), 1,
IF(AND(A163=INT(A163), LEN(A163)=3), 2,
LEN(A163) - FIND(".", A163) + 2)
)
),
"")</f>
      </c>
      <c r="C163" s="7" t="s">
        <v>424</v>
      </c>
      <c r="D163" s="8">
        <f>REPT("   ", B163*2) &amp; C163</f>
      </c>
      <c r="E163" s="7" t="s">
        <v>35</v>
      </c>
      <c r="F163" s="7" t="s">
        <v>693</v>
      </c>
      <c r="G163" s="7" t="s">
        <v>694</v>
      </c>
      <c r="H163" s="7" t="s">
        <v>306</v>
      </c>
      <c r="I163" s="9" t="s">
        <v>699</v>
      </c>
      <c r="J163" s="14"/>
      <c r="K163" s="14">
        <v>2488</v>
      </c>
      <c r="L163" s="15" t="s">
        <v>261</v>
      </c>
      <c r="M163" s="7" t="s">
        <v>696</v>
      </c>
      <c r="N163" s="20"/>
      <c r="O163" s="15"/>
      <c r="P163" s="20"/>
      <c r="Q163" s="14">
        <v>2024</v>
      </c>
      <c r="R163" s="15" t="s">
        <v>294</v>
      </c>
      <c r="S163" s="116"/>
      <c r="T163" s="116"/>
      <c r="U163" s="15"/>
      <c r="V163" s="15"/>
      <c r="W163" s="4" t="s">
        <v>287</v>
      </c>
      <c r="X163" s="12">
        <f>0.9*$J163</f>
      </c>
      <c r="Y163" s="12">
        <f>1.5*J163</f>
      </c>
      <c r="Z163" s="4" t="s">
        <v>45</v>
      </c>
      <c r="AA163" s="11">
        <v>1408</v>
      </c>
      <c r="AB163" s="11">
        <v>3484</v>
      </c>
      <c r="AC163" s="4" t="s">
        <v>45</v>
      </c>
      <c r="AD163" s="13">
        <v>0.1</v>
      </c>
      <c r="AE163" s="11">
        <v>1</v>
      </c>
      <c r="AF163" s="11">
        <v>0</v>
      </c>
      <c r="AG163" s="4" t="s">
        <v>46</v>
      </c>
      <c r="AH163" s="61"/>
      <c r="AI163" s="61"/>
      <c r="AJ163" s="61"/>
    </row>
    <row x14ac:dyDescent="0.25" r="164" customHeight="1" ht="30">
      <c r="A164" s="20">
        <v>254</v>
      </c>
      <c r="B164" s="6">
        <f>IF(ISNUMBER(A164),
IF(AND(A164=INT(A164), MOD(A164, 10) = 0), 0,
IF(AND(A164=INT(A164), LEN(A164)=2), 1,
IF(AND(A164=INT(A164), LEN(A164)=3), 2,
LEN(A164) - FIND(".", A164) + 2)
)
),
"")</f>
      </c>
      <c r="C164" s="7" t="s">
        <v>424</v>
      </c>
      <c r="D164" s="8">
        <f>REPT("   ", B164*2) &amp; C164</f>
      </c>
      <c r="E164" s="7" t="s">
        <v>35</v>
      </c>
      <c r="F164" s="7" t="s">
        <v>693</v>
      </c>
      <c r="G164" s="7" t="s">
        <v>694</v>
      </c>
      <c r="H164" s="7" t="s">
        <v>306</v>
      </c>
      <c r="I164" s="9" t="s">
        <v>700</v>
      </c>
      <c r="J164" s="14"/>
      <c r="K164" s="14">
        <v>1520</v>
      </c>
      <c r="L164" s="15" t="s">
        <v>261</v>
      </c>
      <c r="M164" s="7" t="s">
        <v>696</v>
      </c>
      <c r="N164" s="20"/>
      <c r="O164" s="15"/>
      <c r="P164" s="20"/>
      <c r="Q164" s="14">
        <v>2023</v>
      </c>
      <c r="R164" s="15" t="s">
        <v>294</v>
      </c>
      <c r="S164" s="116"/>
      <c r="T164" s="116"/>
      <c r="U164" s="15"/>
      <c r="V164" s="15"/>
      <c r="W164" s="4" t="s">
        <v>287</v>
      </c>
      <c r="X164" s="12">
        <f>0.9*$J164</f>
      </c>
      <c r="Y164" s="12">
        <f>1.5*J164</f>
      </c>
      <c r="Z164" s="4" t="s">
        <v>45</v>
      </c>
      <c r="AA164" s="11">
        <f>0.9*K164</f>
      </c>
      <c r="AB164" s="11">
        <f>1.3*K164</f>
      </c>
      <c r="AC164" s="4" t="s">
        <v>45</v>
      </c>
      <c r="AD164" s="13">
        <v>0.1</v>
      </c>
      <c r="AE164" s="11">
        <v>1</v>
      </c>
      <c r="AF164" s="11">
        <v>0</v>
      </c>
      <c r="AG164" s="4" t="s">
        <v>46</v>
      </c>
      <c r="AH164" s="61"/>
      <c r="AI164" s="61"/>
      <c r="AJ164" s="61"/>
    </row>
    <row x14ac:dyDescent="0.25" r="165" customHeight="1" ht="15">
      <c r="A165" s="20">
        <v>254</v>
      </c>
      <c r="B165" s="6">
        <v>2</v>
      </c>
      <c r="C165" s="7" t="s">
        <v>424</v>
      </c>
      <c r="D165" s="8">
        <f>REPT("   ", B165*2) &amp; C165</f>
      </c>
      <c r="E165" s="7" t="s">
        <v>35</v>
      </c>
      <c r="F165" s="7" t="s">
        <v>693</v>
      </c>
      <c r="G165" s="7" t="s">
        <v>694</v>
      </c>
      <c r="H165" s="7" t="s">
        <v>306</v>
      </c>
      <c r="I165" s="9" t="s">
        <v>701</v>
      </c>
      <c r="J165" s="14"/>
      <c r="K165" s="14">
        <v>1664</v>
      </c>
      <c r="L165" s="15" t="s">
        <v>261</v>
      </c>
      <c r="M165" s="7" t="s">
        <v>696</v>
      </c>
      <c r="N165" s="20"/>
      <c r="O165" s="15"/>
      <c r="P165" s="20"/>
      <c r="Q165" s="14">
        <v>2024</v>
      </c>
      <c r="R165" s="15" t="s">
        <v>294</v>
      </c>
      <c r="S165" s="116"/>
      <c r="T165" s="116"/>
      <c r="U165" s="15"/>
      <c r="V165" s="15"/>
      <c r="W165" s="4" t="s">
        <v>287</v>
      </c>
      <c r="X165" s="12">
        <f>0.9*$J165</f>
      </c>
      <c r="Y165" s="12">
        <f>1.5*J165</f>
      </c>
      <c r="Z165" s="4" t="s">
        <v>45</v>
      </c>
      <c r="AA165" s="11">
        <v>1408</v>
      </c>
      <c r="AB165" s="11">
        <v>1920</v>
      </c>
      <c r="AC165" s="4" t="s">
        <v>45</v>
      </c>
      <c r="AD165" s="13">
        <v>0.1</v>
      </c>
      <c r="AE165" s="11">
        <v>1</v>
      </c>
      <c r="AF165" s="11">
        <v>0</v>
      </c>
      <c r="AG165" s="4" t="s">
        <v>46</v>
      </c>
      <c r="AH165" s="61"/>
      <c r="AI165" s="61"/>
      <c r="AJ165" s="61"/>
    </row>
    <row x14ac:dyDescent="0.25" r="166" customHeight="1" ht="15">
      <c r="A166" s="20">
        <v>254</v>
      </c>
      <c r="B166" s="6">
        <v>2</v>
      </c>
      <c r="C166" s="7" t="s">
        <v>424</v>
      </c>
      <c r="D166" s="8">
        <f>REPT("   ", B166*2) &amp; C166</f>
      </c>
      <c r="E166" s="7" t="s">
        <v>35</v>
      </c>
      <c r="F166" s="7" t="s">
        <v>693</v>
      </c>
      <c r="G166" s="7" t="s">
        <v>627</v>
      </c>
      <c r="H166" s="7"/>
      <c r="I166" s="9"/>
      <c r="J166" s="14"/>
      <c r="K166" s="14">
        <v>10000</v>
      </c>
      <c r="L166" s="15" t="s">
        <v>261</v>
      </c>
      <c r="M166" s="7" t="s">
        <v>696</v>
      </c>
      <c r="N166" s="20"/>
      <c r="O166" s="15"/>
      <c r="P166" s="20"/>
      <c r="Q166" s="14">
        <v>2009</v>
      </c>
      <c r="R166" s="15" t="s">
        <v>294</v>
      </c>
      <c r="S166" s="116"/>
      <c r="T166" s="118"/>
      <c r="U166" s="15"/>
      <c r="V166" s="15"/>
      <c r="W166" s="4" t="s">
        <v>287</v>
      </c>
      <c r="X166" s="12">
        <f>0.9*$J166</f>
      </c>
      <c r="Y166" s="12">
        <f>1.5*J166</f>
      </c>
      <c r="Z166" s="4" t="s">
        <v>45</v>
      </c>
      <c r="AA166" s="11">
        <f>0.9*K166</f>
      </c>
      <c r="AB166" s="11">
        <f>1.3*K166</f>
      </c>
      <c r="AC166" s="4" t="s">
        <v>45</v>
      </c>
      <c r="AD166" s="13">
        <v>0.1</v>
      </c>
      <c r="AE166" s="11">
        <v>1</v>
      </c>
      <c r="AF166" s="11">
        <v>0</v>
      </c>
      <c r="AG166" s="4" t="s">
        <v>46</v>
      </c>
      <c r="AH166" s="61"/>
      <c r="AI166" s="61"/>
      <c r="AJ166" s="61"/>
    </row>
    <row x14ac:dyDescent="0.25" r="167" customHeight="1" ht="15">
      <c r="A167" s="6">
        <v>26</v>
      </c>
      <c r="B167" s="6">
        <v>1</v>
      </c>
      <c r="C167" s="7" t="s">
        <v>702</v>
      </c>
      <c r="D167" s="8">
        <f>REPT("   ", B167*2) &amp; C167</f>
      </c>
      <c r="E167" s="7" t="s">
        <v>35</v>
      </c>
      <c r="F167" s="9"/>
      <c r="G167" s="9"/>
      <c r="H167" s="9"/>
      <c r="I167" s="9"/>
      <c r="J167" s="14">
        <v>1000000</v>
      </c>
      <c r="K167" s="14"/>
      <c r="L167" s="15"/>
      <c r="M167" s="7"/>
      <c r="N167" s="20"/>
      <c r="O167" s="15"/>
      <c r="P167" s="20"/>
      <c r="Q167" s="14">
        <v>2021</v>
      </c>
      <c r="R167" s="15" t="s">
        <v>253</v>
      </c>
      <c r="S167" s="118"/>
      <c r="T167" s="7" t="s">
        <v>703</v>
      </c>
      <c r="U167" s="15"/>
      <c r="V167" s="15"/>
      <c r="W167" s="4" t="s">
        <v>287</v>
      </c>
      <c r="X167" s="12">
        <f>0.9*$J167</f>
      </c>
      <c r="Y167" s="12">
        <f>1.5*J167</f>
      </c>
      <c r="Z167" s="4" t="s">
        <v>45</v>
      </c>
      <c r="AA167" s="11">
        <f>0.9*K167</f>
      </c>
      <c r="AB167" s="11">
        <f>1.3*K167</f>
      </c>
      <c r="AC167" s="4" t="s">
        <v>45</v>
      </c>
      <c r="AD167" s="13">
        <v>0.1</v>
      </c>
      <c r="AE167" s="11">
        <v>1</v>
      </c>
      <c r="AF167" s="11">
        <v>0</v>
      </c>
      <c r="AG167" s="4" t="s">
        <v>46</v>
      </c>
      <c r="AH167" s="61"/>
      <c r="AI167" s="61"/>
      <c r="AJ167" s="61"/>
    </row>
    <row x14ac:dyDescent="0.25" r="168" customHeight="1" ht="15">
      <c r="A168" s="6">
        <v>27</v>
      </c>
      <c r="B168" s="6">
        <v>1</v>
      </c>
      <c r="C168" s="7" t="s">
        <v>704</v>
      </c>
      <c r="D168" s="8">
        <f>REPT("   ", B168*2) &amp; C168</f>
      </c>
      <c r="E168" s="7" t="s">
        <v>241</v>
      </c>
      <c r="F168" s="9"/>
      <c r="G168" s="9"/>
      <c r="H168" s="9"/>
      <c r="I168" s="9"/>
      <c r="J168" s="14"/>
      <c r="K168" s="39">
        <v>3.12</v>
      </c>
      <c r="L168" s="15" t="s">
        <v>705</v>
      </c>
      <c r="M168" s="7" t="s">
        <v>706</v>
      </c>
      <c r="N168" s="20"/>
      <c r="O168" s="15" t="s">
        <v>707</v>
      </c>
      <c r="P168" s="14">
        <v>1</v>
      </c>
      <c r="Q168" s="14">
        <v>2024</v>
      </c>
      <c r="R168" s="15" t="s">
        <v>253</v>
      </c>
      <c r="S168" s="118"/>
      <c r="T168" s="7"/>
      <c r="U168" s="15"/>
      <c r="V168" s="15" t="s">
        <v>708</v>
      </c>
      <c r="W168" s="4" t="s">
        <v>44</v>
      </c>
      <c r="X168" s="12">
        <f>0.9*$J168</f>
      </c>
      <c r="Y168" s="12">
        <f>1.5*J168</f>
      </c>
      <c r="Z168" s="4" t="s">
        <v>45</v>
      </c>
      <c r="AA168" s="13">
        <v>2.49</v>
      </c>
      <c r="AB168" s="13">
        <v>5.36</v>
      </c>
      <c r="AC168" s="4" t="s">
        <v>45</v>
      </c>
      <c r="AD168" s="13">
        <v>0.1</v>
      </c>
      <c r="AE168" s="11">
        <v>1</v>
      </c>
      <c r="AF168" s="11">
        <v>0</v>
      </c>
      <c r="AG168" s="4" t="s">
        <v>46</v>
      </c>
      <c r="AH168" s="61"/>
      <c r="AI168" s="61"/>
      <c r="AJ168" s="61"/>
    </row>
    <row x14ac:dyDescent="0.25" r="169" customHeight="1" ht="15">
      <c r="A169" s="1">
        <v>30</v>
      </c>
      <c r="B169" s="6">
        <v>0</v>
      </c>
      <c r="C169" s="7" t="s">
        <v>220</v>
      </c>
      <c r="D169" s="8">
        <f>REPT("   ", B169*2) &amp; C169</f>
      </c>
      <c r="E169" s="9"/>
      <c r="F169" s="9"/>
      <c r="G169" s="9"/>
      <c r="H169" s="9"/>
      <c r="I169" s="9"/>
      <c r="J169" s="18"/>
      <c r="K169" s="18"/>
      <c r="L169" s="2"/>
      <c r="M169" s="2"/>
      <c r="N169" s="1"/>
      <c r="O169" s="2"/>
      <c r="P169" s="1"/>
      <c r="Q169" s="18"/>
      <c r="R169" s="2"/>
      <c r="S169" s="2"/>
      <c r="T169" s="2"/>
      <c r="U169" s="2"/>
      <c r="V169" s="2"/>
      <c r="W169" s="4"/>
      <c r="X169" s="12"/>
      <c r="Y169" s="12"/>
      <c r="Z169" s="4"/>
      <c r="AA169" s="13"/>
      <c r="AB169" s="13"/>
      <c r="AC169" s="4"/>
      <c r="AD169" s="13"/>
      <c r="AE169" s="11"/>
      <c r="AF169" s="11"/>
      <c r="AG169" s="4"/>
      <c r="AH169" s="61"/>
      <c r="AI169" s="61"/>
      <c r="AJ169" s="61"/>
    </row>
    <row x14ac:dyDescent="0.25" r="170" customHeight="1" ht="15">
      <c r="A170" s="1">
        <v>31</v>
      </c>
      <c r="B170" s="6">
        <v>1</v>
      </c>
      <c r="C170" s="7" t="s">
        <v>221</v>
      </c>
      <c r="D170" s="8">
        <f>REPT("   ", B170*2) &amp; C170</f>
      </c>
      <c r="E170" s="9"/>
      <c r="F170" s="9"/>
      <c r="G170" s="9"/>
      <c r="H170" s="9"/>
      <c r="I170" s="9"/>
      <c r="J170" s="18"/>
      <c r="K170" s="133"/>
      <c r="L170" s="15"/>
      <c r="M170" s="7"/>
      <c r="N170" s="1"/>
      <c r="O170" s="2"/>
      <c r="P170" s="1"/>
      <c r="Q170" s="14"/>
      <c r="R170" s="15"/>
      <c r="S170" s="2"/>
      <c r="T170" s="2"/>
      <c r="U170" s="2"/>
      <c r="V170" s="2"/>
      <c r="W170" s="4"/>
      <c r="X170" s="12"/>
      <c r="Y170" s="12"/>
      <c r="Z170" s="4"/>
      <c r="AA170" s="13"/>
      <c r="AB170" s="13"/>
      <c r="AC170" s="4"/>
      <c r="AD170" s="13"/>
      <c r="AE170" s="11"/>
      <c r="AF170" s="11"/>
      <c r="AG170" s="4"/>
      <c r="AH170" s="61"/>
      <c r="AI170" s="61"/>
      <c r="AJ170" s="61"/>
    </row>
    <row x14ac:dyDescent="0.25" r="171" customHeight="1" ht="15">
      <c r="A171" s="1">
        <v>32</v>
      </c>
      <c r="B171" s="6">
        <v>1</v>
      </c>
      <c r="C171" s="7" t="s">
        <v>223</v>
      </c>
      <c r="D171" s="8">
        <f>REPT("   ", B171*2) &amp; C171</f>
      </c>
      <c r="E171" s="9"/>
      <c r="F171" s="9"/>
      <c r="G171" s="9"/>
      <c r="H171" s="9"/>
      <c r="I171" s="9"/>
      <c r="J171" s="18"/>
      <c r="K171" s="18"/>
      <c r="L171" s="2"/>
      <c r="M171" s="2"/>
      <c r="N171" s="1"/>
      <c r="O171" s="2"/>
      <c r="P171" s="1"/>
      <c r="Q171" s="14"/>
      <c r="R171" s="15"/>
      <c r="S171" s="2"/>
      <c r="T171" s="2"/>
      <c r="U171" s="2"/>
      <c r="V171" s="2"/>
      <c r="W171" s="4"/>
      <c r="X171" s="12"/>
      <c r="Y171" s="12"/>
      <c r="Z171" s="4"/>
      <c r="AA171" s="13"/>
      <c r="AB171" s="13"/>
      <c r="AC171" s="4"/>
      <c r="AD171" s="13"/>
      <c r="AE171" s="11"/>
      <c r="AF171" s="11"/>
      <c r="AG171" s="4"/>
      <c r="AH171" s="61"/>
      <c r="AI171" s="61"/>
      <c r="AJ171" s="61"/>
    </row>
    <row x14ac:dyDescent="0.25" r="172" customHeight="1" ht="15">
      <c r="A172" s="6">
        <v>33</v>
      </c>
      <c r="B172" s="6">
        <v>1</v>
      </c>
      <c r="C172" s="7" t="s">
        <v>224</v>
      </c>
      <c r="D172" s="8">
        <f>REPT("   ", B172*2) &amp; C172</f>
      </c>
      <c r="E172" s="7" t="s">
        <v>35</v>
      </c>
      <c r="F172" s="9"/>
      <c r="G172" s="9"/>
      <c r="H172" s="9"/>
      <c r="I172" s="9"/>
      <c r="J172" s="14">
        <f>MARVEL_Cost!C58</f>
      </c>
      <c r="K172" s="14"/>
      <c r="L172" s="14"/>
      <c r="M172" s="19"/>
      <c r="N172" s="14"/>
      <c r="O172" s="14"/>
      <c r="P172" s="14"/>
      <c r="Q172" s="14">
        <v>2024</v>
      </c>
      <c r="R172" s="15" t="s">
        <v>68</v>
      </c>
      <c r="S172" s="7" t="s">
        <v>222</v>
      </c>
      <c r="T172" s="14"/>
      <c r="U172" s="14"/>
      <c r="V172" s="14"/>
      <c r="W172" s="4" t="s">
        <v>280</v>
      </c>
      <c r="X172" s="12">
        <f>0.9*$J172</f>
      </c>
      <c r="Y172" s="12">
        <f>1.5*J172</f>
      </c>
      <c r="Z172" s="4" t="s">
        <v>45</v>
      </c>
      <c r="AA172" s="11">
        <f>0.9*K172</f>
      </c>
      <c r="AB172" s="11">
        <f>1.3*K172</f>
      </c>
      <c r="AC172" s="4" t="s">
        <v>45</v>
      </c>
      <c r="AD172" s="13">
        <v>0.1</v>
      </c>
      <c r="AE172" s="11">
        <v>1</v>
      </c>
      <c r="AF172" s="11">
        <v>0</v>
      </c>
      <c r="AG172" s="4" t="s">
        <v>46</v>
      </c>
      <c r="AH172" s="61"/>
      <c r="AI172" s="61"/>
      <c r="AJ172" s="61"/>
    </row>
    <row x14ac:dyDescent="0.25" r="173" customHeight="1" ht="70.5">
      <c r="A173" s="6">
        <v>34</v>
      </c>
      <c r="B173" s="6">
        <f>IF(ISNUMBER(A173),
IF(AND(A173=INT(A173), MOD(A173, 10) = 0), 0,
IF(AND(A173=INT(A173), LEN(A173)=2), 1,
IF(AND(A173=INT(A173), LEN(A173)=3), 2,
LEN(A173) - FIND(".", A173) + 2)
)
),
"")</f>
      </c>
      <c r="C173" s="7" t="s">
        <v>225</v>
      </c>
      <c r="D173" s="8">
        <f>REPT("   ", B173*2) &amp; C173</f>
      </c>
      <c r="E173" s="7" t="s">
        <v>35</v>
      </c>
      <c r="F173" s="9"/>
      <c r="G173" s="9"/>
      <c r="H173" s="9"/>
      <c r="I173" s="9"/>
      <c r="J173" s="14">
        <f>0.5*MARVEL_Cost!C62</f>
      </c>
      <c r="K173" s="14"/>
      <c r="L173" s="14"/>
      <c r="M173" s="19"/>
      <c r="N173" s="14"/>
      <c r="O173" s="14"/>
      <c r="P173" s="14"/>
      <c r="Q173" s="14">
        <v>2024</v>
      </c>
      <c r="R173" s="15" t="s">
        <v>68</v>
      </c>
      <c r="S173" s="116"/>
      <c r="T173" s="14"/>
      <c r="U173" s="14"/>
      <c r="V173" s="14"/>
      <c r="W173" s="4" t="s">
        <v>280</v>
      </c>
      <c r="X173" s="12">
        <f>0.9*$J173</f>
      </c>
      <c r="Y173" s="12">
        <f>1.5*J173</f>
      </c>
      <c r="Z173" s="4" t="s">
        <v>45</v>
      </c>
      <c r="AA173" s="11">
        <f>0.9*K173</f>
      </c>
      <c r="AB173" s="11">
        <f>1.3*K173</f>
      </c>
      <c r="AC173" s="4" t="s">
        <v>45</v>
      </c>
      <c r="AD173" s="13">
        <v>0.1</v>
      </c>
      <c r="AE173" s="11">
        <v>1</v>
      </c>
      <c r="AF173" s="11">
        <v>0</v>
      </c>
      <c r="AG173" s="4" t="s">
        <v>46</v>
      </c>
      <c r="AH173" s="61"/>
      <c r="AI173" s="61"/>
      <c r="AJ173" s="61"/>
    </row>
    <row x14ac:dyDescent="0.25" r="174" customHeight="1" ht="30">
      <c r="A174" s="6">
        <v>35</v>
      </c>
      <c r="B174" s="6">
        <f>IF(ISNUMBER(A174),
IF(AND(A174=INT(A174), MOD(A174, 10) = 0), 0,
IF(AND(A174=INT(A174), LEN(A174)=2), 1,
IF(AND(A174=INT(A174), LEN(A174)=3), 2,
LEN(A174) - FIND(".", A174) + 2)
)
),
"")</f>
      </c>
      <c r="C174" s="7" t="s">
        <v>226</v>
      </c>
      <c r="D174" s="8">
        <f>REPT("   ", B174*2) &amp; C174</f>
      </c>
      <c r="E174" s="7" t="s">
        <v>35</v>
      </c>
      <c r="F174" s="9"/>
      <c r="G174" s="9"/>
      <c r="H174" s="9"/>
      <c r="I174" s="9"/>
      <c r="J174" s="14">
        <f>MARVEL_Cost!C65</f>
      </c>
      <c r="K174" s="14"/>
      <c r="L174" s="15"/>
      <c r="M174" s="7"/>
      <c r="N174" s="20"/>
      <c r="O174" s="15"/>
      <c r="P174" s="20"/>
      <c r="Q174" s="14">
        <v>2024</v>
      </c>
      <c r="R174" s="15" t="s">
        <v>51</v>
      </c>
      <c r="S174" s="116"/>
      <c r="T174" s="15"/>
      <c r="U174" s="15"/>
      <c r="V174" s="15"/>
      <c r="W174" s="4" t="s">
        <v>280</v>
      </c>
      <c r="X174" s="12">
        <f>0.9*$J174</f>
      </c>
      <c r="Y174" s="12">
        <f>1.5*J174</f>
      </c>
      <c r="Z174" s="4" t="s">
        <v>45</v>
      </c>
      <c r="AA174" s="11">
        <f>0.9*K174</f>
      </c>
      <c r="AB174" s="11">
        <f>1.3*K174</f>
      </c>
      <c r="AC174" s="4" t="s">
        <v>45</v>
      </c>
      <c r="AD174" s="13">
        <v>0.1</v>
      </c>
      <c r="AE174" s="11">
        <v>1</v>
      </c>
      <c r="AF174" s="11">
        <v>0</v>
      </c>
      <c r="AG174" s="4" t="s">
        <v>46</v>
      </c>
      <c r="AH174" s="61"/>
      <c r="AI174" s="61"/>
      <c r="AJ174" s="61"/>
    </row>
    <row x14ac:dyDescent="0.25" r="175" customHeight="1" ht="84.75">
      <c r="A175" s="6">
        <v>36</v>
      </c>
      <c r="B175" s="6">
        <f>IF(ISNUMBER(A175),
IF(AND(A175=INT(A175), MOD(A175, 10) = 0), 0,
IF(AND(A175=INT(A175), LEN(A175)=2), 1,
IF(AND(A175=INT(A175), LEN(A175)=3), 2,
LEN(A175) - FIND(".", A175) + 2)
)
),
"")</f>
      </c>
      <c r="C175" s="7" t="s">
        <v>227</v>
      </c>
      <c r="D175" s="8">
        <f>REPT("   ", B175*2) &amp; C175</f>
      </c>
      <c r="E175" s="7" t="s">
        <v>35</v>
      </c>
      <c r="F175" s="9"/>
      <c r="G175" s="9"/>
      <c r="H175" s="9"/>
      <c r="I175" s="9"/>
      <c r="J175" s="14">
        <f>MARVEL_Cost!C68</f>
      </c>
      <c r="K175" s="14"/>
      <c r="L175" s="15"/>
      <c r="M175" s="7"/>
      <c r="N175" s="20"/>
      <c r="O175" s="15"/>
      <c r="P175" s="20"/>
      <c r="Q175" s="14">
        <v>2024</v>
      </c>
      <c r="R175" s="15" t="s">
        <v>51</v>
      </c>
      <c r="S175" s="118"/>
      <c r="T175" s="15"/>
      <c r="U175" s="15"/>
      <c r="V175" s="15"/>
      <c r="W175" s="4" t="s">
        <v>280</v>
      </c>
      <c r="X175" s="12">
        <f>0.9*$J175</f>
      </c>
      <c r="Y175" s="12">
        <f>1.5*J175</f>
      </c>
      <c r="Z175" s="4" t="s">
        <v>45</v>
      </c>
      <c r="AA175" s="11">
        <f>0.9*K175</f>
      </c>
      <c r="AB175" s="11">
        <f>1.3*K175</f>
      </c>
      <c r="AC175" s="4" t="s">
        <v>45</v>
      </c>
      <c r="AD175" s="13">
        <v>0.1</v>
      </c>
      <c r="AE175" s="11">
        <v>1</v>
      </c>
      <c r="AF175" s="11">
        <v>0</v>
      </c>
      <c r="AG175" s="4" t="s">
        <v>46</v>
      </c>
      <c r="AH175" s="61"/>
      <c r="AI175" s="61"/>
      <c r="AJ175" s="61"/>
    </row>
    <row x14ac:dyDescent="0.25" r="176" customHeight="1" ht="15">
      <c r="A176" s="6">
        <v>40</v>
      </c>
      <c r="B176" s="6">
        <f>IF(ISNUMBER(A176),
IF(AND(A176=INT(A176), MOD(A176, 10) = 0), 0,
IF(AND(A176=INT(A176), LEN(A176)=2), 1,
IF(AND(A176=INT(A176), LEN(A176)=3), 2,
LEN(A176) - FIND(".", A176) + 2)
)
),
"")</f>
      </c>
      <c r="C176" s="7" t="s">
        <v>230</v>
      </c>
      <c r="D176" s="8">
        <f>REPT("   ", B176*2) &amp; C176</f>
      </c>
      <c r="E176" s="9"/>
      <c r="F176" s="9"/>
      <c r="G176" s="9"/>
      <c r="H176" s="9"/>
      <c r="I176" s="9"/>
      <c r="J176" s="14"/>
      <c r="K176" s="14"/>
      <c r="L176" s="15"/>
      <c r="M176" s="7"/>
      <c r="N176" s="20"/>
      <c r="O176" s="15"/>
      <c r="P176" s="20"/>
      <c r="Q176" s="14"/>
      <c r="R176" s="15"/>
      <c r="S176" s="2"/>
      <c r="T176" s="15"/>
      <c r="U176" s="15"/>
      <c r="V176" s="15"/>
      <c r="W176" s="4"/>
      <c r="X176" s="12"/>
      <c r="Y176" s="12"/>
      <c r="Z176" s="4"/>
      <c r="AA176" s="13"/>
      <c r="AB176" s="13"/>
      <c r="AC176" s="4"/>
      <c r="AD176" s="13"/>
      <c r="AE176" s="11"/>
      <c r="AF176" s="11"/>
      <c r="AG176" s="4"/>
      <c r="AH176" s="61"/>
      <c r="AI176" s="61"/>
      <c r="AJ176" s="61"/>
    </row>
    <row x14ac:dyDescent="0.25" r="177" customHeight="1" ht="57">
      <c r="A177" s="6">
        <v>41</v>
      </c>
      <c r="B177" s="6">
        <f>IF(ISNUMBER(A177),
IF(AND(A177=INT(A177), MOD(A177, 10) = 0), 0,
IF(AND(A177=INT(A177), LEN(A177)=2), 1,
IF(AND(A177=INT(A177), LEN(A177)=3), 2,
LEN(A177) - FIND(".", A177) + 2)
)
),
"")</f>
      </c>
      <c r="C177" s="7" t="s">
        <v>231</v>
      </c>
      <c r="D177" s="8">
        <f>REPT("   ", B177*2) &amp; C177</f>
      </c>
      <c r="E177" s="7" t="s">
        <v>35</v>
      </c>
      <c r="F177" s="9"/>
      <c r="G177" s="9"/>
      <c r="H177" s="9"/>
      <c r="I177" s="9"/>
      <c r="J177" s="14">
        <v>300000</v>
      </c>
      <c r="K177" s="14"/>
      <c r="L177" s="15"/>
      <c r="M177" s="7"/>
      <c r="N177" s="20"/>
      <c r="O177" s="15"/>
      <c r="P177" s="20"/>
      <c r="Q177" s="14">
        <v>2024</v>
      </c>
      <c r="R177" s="15" t="s">
        <v>51</v>
      </c>
      <c r="S177" s="7"/>
      <c r="T177" s="15" t="s">
        <v>228</v>
      </c>
      <c r="U177" s="15" t="s">
        <v>229</v>
      </c>
      <c r="V177" s="15"/>
      <c r="W177" s="4" t="s">
        <v>44</v>
      </c>
      <c r="X177" s="12">
        <f>0.9*$J177</f>
      </c>
      <c r="Y177" s="12">
        <f>1.5*J177</f>
      </c>
      <c r="Z177" s="4" t="s">
        <v>45</v>
      </c>
      <c r="AA177" s="11">
        <f>0.9*K177</f>
      </c>
      <c r="AB177" s="11">
        <f>1.3*K177</f>
      </c>
      <c r="AC177" s="4" t="s">
        <v>45</v>
      </c>
      <c r="AD177" s="13">
        <v>0.1</v>
      </c>
      <c r="AE177" s="11">
        <v>1</v>
      </c>
      <c r="AF177" s="11">
        <v>0</v>
      </c>
      <c r="AG177" s="4" t="s">
        <v>46</v>
      </c>
      <c r="AH177" s="61"/>
      <c r="AI177" s="61"/>
      <c r="AJ177" s="61"/>
    </row>
    <row x14ac:dyDescent="0.25" r="178" customHeight="1" ht="28.5">
      <c r="A178" s="1">
        <v>60</v>
      </c>
      <c r="B178" s="6">
        <f>IF(ISNUMBER(A178),
IF(AND(A178=INT(A178), MOD(A178, 10) = 0), 0,
IF(AND(A178=INT(A178), LEN(A178)=2), 1,
IF(AND(A178=INT(A178), LEN(A178)=3), 2,
LEN(A178) - FIND(".", A178) + 2)
)
),
"")</f>
      </c>
      <c r="C178" s="7" t="s">
        <v>232</v>
      </c>
      <c r="D178" s="8">
        <f>REPT("   ", B178*2) &amp; C178</f>
      </c>
      <c r="E178" s="9"/>
      <c r="F178" s="9"/>
      <c r="G178" s="9"/>
      <c r="H178" s="9"/>
      <c r="I178" s="9"/>
      <c r="J178" s="18"/>
      <c r="K178" s="18"/>
      <c r="L178" s="2"/>
      <c r="M178" s="2"/>
      <c r="N178" s="1"/>
      <c r="O178" s="2"/>
      <c r="P178" s="1"/>
      <c r="Q178" s="18"/>
      <c r="R178" s="2"/>
      <c r="S178" s="2"/>
      <c r="T178" s="2"/>
      <c r="U178" s="2"/>
      <c r="V178" s="2"/>
      <c r="W178" s="4"/>
      <c r="X178" s="12"/>
      <c r="Y178" s="12"/>
      <c r="Z178" s="4"/>
      <c r="AA178" s="13"/>
      <c r="AB178" s="13"/>
      <c r="AC178" s="4"/>
      <c r="AD178" s="13"/>
      <c r="AE178" s="11"/>
      <c r="AF178" s="11"/>
      <c r="AG178" s="4"/>
      <c r="AH178" s="61"/>
      <c r="AI178" s="61"/>
      <c r="AJ178" s="61"/>
    </row>
    <row x14ac:dyDescent="0.25" r="179" customHeight="1" ht="154.5">
      <c r="A179" s="6">
        <v>62</v>
      </c>
      <c r="B179" s="6">
        <f>IF(ISNUMBER(A179),
IF(AND(A179=INT(A179), MOD(A179, 10) = 0), 0,
IF(AND(A179=INT(A179), LEN(A179)=2), 1,
IF(AND(A179=INT(A179), LEN(A179)=3), 2,
LEN(A179) - FIND(".", A179) + 2)
)
),
"")</f>
      </c>
      <c r="C179" s="7" t="s">
        <v>233</v>
      </c>
      <c r="D179" s="8">
        <f>REPT("   ", B179*2) &amp; C179</f>
      </c>
      <c r="E179" s="9"/>
      <c r="F179" s="9"/>
      <c r="G179" s="9"/>
      <c r="H179" s="9"/>
      <c r="I179" s="9"/>
      <c r="J179" s="14"/>
      <c r="K179" s="14"/>
      <c r="L179" s="15"/>
      <c r="M179" s="7"/>
      <c r="N179" s="20"/>
      <c r="O179" s="15"/>
      <c r="P179" s="20"/>
      <c r="Q179" s="14"/>
      <c r="R179" s="15"/>
      <c r="S179" s="7"/>
      <c r="T179" s="15"/>
      <c r="U179" s="15"/>
      <c r="V179" s="15"/>
      <c r="W179" s="4"/>
      <c r="X179" s="12"/>
      <c r="Y179" s="12"/>
      <c r="Z179" s="4"/>
      <c r="AA179" s="13"/>
      <c r="AB179" s="13"/>
      <c r="AC179" s="4"/>
      <c r="AD179" s="13"/>
      <c r="AE179" s="11"/>
      <c r="AF179" s="11"/>
      <c r="AG179" s="4"/>
      <c r="AH179" s="61"/>
      <c r="AI179" s="61"/>
      <c r="AJ179" s="61"/>
    </row>
    <row x14ac:dyDescent="0.25" r="180" customHeight="1" ht="126.75">
      <c r="A180" s="6">
        <v>70</v>
      </c>
      <c r="B180" s="6">
        <f>IF(ISNUMBER(A180),
IF(AND(A180=INT(A180), MOD(A180, 10) = 0), 0,
IF(AND(A180=INT(A180), LEN(A180)=2), 1,
IF(AND(A180=INT(A180), LEN(A180)=3), 2,
LEN(A180) - FIND(".", A180) + 2)
)
),
"")</f>
      </c>
      <c r="C180" s="15" t="s">
        <v>234</v>
      </c>
      <c r="D180" s="8">
        <f>REPT("   ", B180*2) &amp; C180</f>
      </c>
      <c r="E180" s="9"/>
      <c r="F180" s="9"/>
      <c r="G180" s="9"/>
      <c r="H180" s="9"/>
      <c r="I180" s="9"/>
      <c r="J180" s="11"/>
      <c r="K180" s="11"/>
      <c r="L180" s="6"/>
      <c r="M180" s="1"/>
      <c r="N180" s="6"/>
      <c r="O180" s="6"/>
      <c r="P180" s="6"/>
      <c r="Q180" s="11"/>
      <c r="R180" s="6"/>
      <c r="S180" s="1"/>
      <c r="T180" s="6"/>
      <c r="U180" s="6"/>
      <c r="V180" s="6"/>
      <c r="W180" s="4"/>
      <c r="X180" s="12"/>
      <c r="Y180" s="12"/>
      <c r="Z180" s="4"/>
      <c r="AA180" s="13"/>
      <c r="AB180" s="13"/>
      <c r="AC180" s="4"/>
      <c r="AD180" s="13"/>
      <c r="AE180" s="11"/>
      <c r="AF180" s="11"/>
      <c r="AG180" s="4"/>
      <c r="AH180" s="61"/>
      <c r="AI180" s="61"/>
      <c r="AJ180" s="61"/>
    </row>
    <row x14ac:dyDescent="0.25" r="181" customHeight="1" ht="12.75">
      <c r="A181" s="6">
        <v>71</v>
      </c>
      <c r="B181" s="6">
        <f>IF(ISNUMBER(A181),
IF(AND(A181=INT(A181), MOD(A181, 10) = 0), 0,
IF(AND(A181=INT(A181), LEN(A181)=2), 1,
IF(AND(A181=INT(A181), LEN(A181)=3), 2,
LEN(A181) - FIND(".", A181) + 2)
)
),
"")</f>
      </c>
      <c r="C181" s="7" t="s">
        <v>238</v>
      </c>
      <c r="D181" s="8">
        <f>REPT("   ", B181*2) &amp; C181</f>
      </c>
      <c r="E181" s="9"/>
      <c r="F181" s="9"/>
      <c r="G181" s="9"/>
      <c r="H181" s="9"/>
      <c r="I181" s="9"/>
      <c r="J181" s="14"/>
      <c r="K181" s="14"/>
      <c r="L181" s="15"/>
      <c r="M181" s="7"/>
      <c r="N181" s="20"/>
      <c r="O181" s="15"/>
      <c r="P181" s="20"/>
      <c r="Q181" s="14"/>
      <c r="R181" s="15"/>
      <c r="S181" s="7"/>
      <c r="T181" s="15"/>
      <c r="U181" s="15"/>
      <c r="V181" s="15"/>
      <c r="W181" s="4"/>
      <c r="X181" s="12"/>
      <c r="Y181" s="12"/>
      <c r="Z181" s="4"/>
      <c r="AA181" s="13"/>
      <c r="AB181" s="13"/>
      <c r="AC181" s="4"/>
      <c r="AD181" s="13"/>
      <c r="AE181" s="11"/>
      <c r="AF181" s="11"/>
      <c r="AG181" s="4"/>
      <c r="AH181" s="61"/>
      <c r="AI181" s="61"/>
      <c r="AJ181" s="61"/>
    </row>
    <row x14ac:dyDescent="0.25" r="182" customHeight="1" ht="15">
      <c r="A182" s="20">
        <v>711</v>
      </c>
      <c r="B182" s="6">
        <f>IF(ISNUMBER(A182),
IF(AND(A182=INT(A182), MOD(A182, 10) = 0), 0,
IF(AND(A182=INT(A182), LEN(A182)=2), 1,
IF(AND(A182=INT(A182), LEN(A182)=3), 2,
LEN(A182) - FIND(".", A182) + 2)
)
),
"")</f>
      </c>
      <c r="C182" s="7" t="s">
        <v>240</v>
      </c>
      <c r="D182" s="8">
        <f>REPT("   ", B182*2) &amp; C182</f>
      </c>
      <c r="E182" s="7" t="s">
        <v>241</v>
      </c>
      <c r="F182" s="9"/>
      <c r="G182" s="9"/>
      <c r="H182" s="9"/>
      <c r="I182" s="9"/>
      <c r="J182" s="14"/>
      <c r="K182" s="14">
        <v>178500</v>
      </c>
      <c r="L182" s="15" t="s">
        <v>235</v>
      </c>
      <c r="M182" s="7" t="s">
        <v>236</v>
      </c>
      <c r="N182" s="20"/>
      <c r="O182" s="15"/>
      <c r="P182" s="14">
        <v>1</v>
      </c>
      <c r="Q182" s="14">
        <v>2024</v>
      </c>
      <c r="R182" s="15" t="s">
        <v>51</v>
      </c>
      <c r="S182" s="128"/>
      <c r="T182" s="128" t="s">
        <v>237</v>
      </c>
      <c r="U182" s="15"/>
      <c r="V182" s="129"/>
      <c r="W182" s="4" t="s">
        <v>44</v>
      </c>
      <c r="X182" s="12">
        <f>0.9*$J182</f>
      </c>
      <c r="Y182" s="12">
        <f>1.5*J182</f>
      </c>
      <c r="Z182" s="4" t="s">
        <v>45</v>
      </c>
      <c r="AA182" s="11">
        <f>0.9*K182</f>
      </c>
      <c r="AB182" s="11">
        <f>1.3*K182</f>
      </c>
      <c r="AC182" s="4" t="s">
        <v>45</v>
      </c>
      <c r="AD182" s="13">
        <v>0.1</v>
      </c>
      <c r="AE182" s="11">
        <v>1</v>
      </c>
      <c r="AF182" s="11">
        <v>0</v>
      </c>
      <c r="AG182" s="4" t="s">
        <v>46</v>
      </c>
      <c r="AH182" s="61"/>
      <c r="AI182" s="61"/>
      <c r="AJ182" s="61"/>
    </row>
    <row x14ac:dyDescent="0.25" r="183" customHeight="1" ht="15">
      <c r="A183" s="20">
        <v>712</v>
      </c>
      <c r="B183" s="6">
        <f>IF(ISNUMBER(A183),
IF(AND(A183=INT(A183), MOD(A183, 10) = 0), 0,
IF(AND(A183=INT(A183), LEN(A183)=2), 1,
IF(AND(A183=INT(A183), LEN(A183)=3), 2,
LEN(A183) - FIND(".", A183) + 2)
)
),
"")</f>
      </c>
      <c r="C183" s="7" t="s">
        <v>243</v>
      </c>
      <c r="D183" s="8">
        <f>REPT("   ", B183*2) &amp; C183</f>
      </c>
      <c r="E183" s="7" t="s">
        <v>241</v>
      </c>
      <c r="F183" s="7" t="s">
        <v>709</v>
      </c>
      <c r="G183" s="7" t="s">
        <v>710</v>
      </c>
      <c r="H183" s="9"/>
      <c r="I183" s="9"/>
      <c r="J183" s="14"/>
      <c r="K183" s="14">
        <v>178500</v>
      </c>
      <c r="L183" s="15" t="s">
        <v>235</v>
      </c>
      <c r="M183" s="7" t="s">
        <v>239</v>
      </c>
      <c r="N183" s="20"/>
      <c r="O183" s="15"/>
      <c r="P183" s="14">
        <v>1</v>
      </c>
      <c r="Q183" s="14">
        <v>2024</v>
      </c>
      <c r="R183" s="15" t="s">
        <v>51</v>
      </c>
      <c r="S183" s="130"/>
      <c r="T183" s="130"/>
      <c r="U183" s="15"/>
      <c r="V183" s="134"/>
      <c r="W183" s="4" t="s">
        <v>44</v>
      </c>
      <c r="X183" s="12">
        <f>0.9*$J183</f>
      </c>
      <c r="Y183" s="12">
        <f>1.5*J183</f>
      </c>
      <c r="Z183" s="4" t="s">
        <v>45</v>
      </c>
      <c r="AA183" s="11">
        <f>0.9*K183</f>
      </c>
      <c r="AB183" s="11">
        <f>1.3*K183</f>
      </c>
      <c r="AC183" s="4" t="s">
        <v>45</v>
      </c>
      <c r="AD183" s="13">
        <v>0.1</v>
      </c>
      <c r="AE183" s="11">
        <v>1</v>
      </c>
      <c r="AF183" s="11">
        <v>0</v>
      </c>
      <c r="AG183" s="4" t="s">
        <v>46</v>
      </c>
      <c r="AH183" s="61"/>
      <c r="AI183" s="61"/>
      <c r="AJ183" s="61"/>
    </row>
    <row x14ac:dyDescent="0.25" r="184" customHeight="1" ht="15">
      <c r="A184" s="20">
        <v>712</v>
      </c>
      <c r="B184" s="6">
        <f>IF(ISNUMBER(A184),
IF(AND(A184=INT(A184), MOD(A184, 10) = 0), 0,
IF(AND(A184=INT(A184), LEN(A184)=2), 1,
IF(AND(A184=INT(A184), LEN(A184)=3), 2,
LEN(A184) - FIND(".", A184) + 2)
)
),
"")</f>
      </c>
      <c r="C184" s="7" t="s">
        <v>243</v>
      </c>
      <c r="D184" s="8">
        <f>REPT("   ", B184*2) &amp; C184</f>
      </c>
      <c r="E184" s="7" t="s">
        <v>241</v>
      </c>
      <c r="F184" s="7" t="s">
        <v>709</v>
      </c>
      <c r="G184" s="7" t="s">
        <v>711</v>
      </c>
      <c r="H184" s="9"/>
      <c r="I184" s="9"/>
      <c r="J184" s="14"/>
      <c r="K184" s="14">
        <v>178500</v>
      </c>
      <c r="L184" s="15" t="s">
        <v>235</v>
      </c>
      <c r="M184" s="7" t="s">
        <v>239</v>
      </c>
      <c r="N184" s="20"/>
      <c r="O184" s="15"/>
      <c r="P184" s="14">
        <v>1</v>
      </c>
      <c r="Q184" s="14">
        <v>2024</v>
      </c>
      <c r="R184" s="15" t="s">
        <v>51</v>
      </c>
      <c r="S184" s="130"/>
      <c r="T184" s="130"/>
      <c r="U184" s="15"/>
      <c r="V184" s="134"/>
      <c r="W184" s="4" t="s">
        <v>44</v>
      </c>
      <c r="X184" s="12">
        <f>0.9*$J182</f>
      </c>
      <c r="Y184" s="12">
        <f>1.5*J182</f>
      </c>
      <c r="Z184" s="4" t="s">
        <v>45</v>
      </c>
      <c r="AA184" s="11">
        <f>0.9*K182</f>
      </c>
      <c r="AB184" s="11">
        <f>1.3*K182</f>
      </c>
      <c r="AC184" s="4" t="s">
        <v>45</v>
      </c>
      <c r="AD184" s="13">
        <v>0.1</v>
      </c>
      <c r="AE184" s="11">
        <v>1</v>
      </c>
      <c r="AF184" s="11">
        <v>0</v>
      </c>
      <c r="AG184" s="4" t="s">
        <v>46</v>
      </c>
      <c r="AH184" s="61"/>
      <c r="AI184" s="61"/>
      <c r="AJ184" s="61"/>
    </row>
    <row x14ac:dyDescent="0.25" r="185" customHeight="1" ht="28.5">
      <c r="A185" s="20">
        <v>713</v>
      </c>
      <c r="B185" s="6">
        <f>IF(ISNUMBER(A185),
IF(AND(A185=INT(A185), MOD(A185, 10) = 0), 0,
IF(AND(A185=INT(A185), LEN(A185)=2), 1,
IF(AND(A185=INT(A185), LEN(A185)=3), 2,
LEN(A185) - FIND(".", A185) + 2)
)
),
"")</f>
      </c>
      <c r="C185" s="7" t="s">
        <v>244</v>
      </c>
      <c r="D185" s="8">
        <f>REPT("   ", B185*2) &amp; C185</f>
      </c>
      <c r="E185" s="7" t="s">
        <v>241</v>
      </c>
      <c r="F185" s="9"/>
      <c r="G185" s="9"/>
      <c r="H185" s="9"/>
      <c r="I185" s="9"/>
      <c r="J185" s="14"/>
      <c r="K185" s="14">
        <v>178500</v>
      </c>
      <c r="L185" s="15" t="s">
        <v>235</v>
      </c>
      <c r="M185" s="7" t="s">
        <v>242</v>
      </c>
      <c r="N185" s="20"/>
      <c r="O185" s="15"/>
      <c r="P185" s="14">
        <v>1</v>
      </c>
      <c r="Q185" s="14">
        <v>2024</v>
      </c>
      <c r="R185" s="15" t="s">
        <v>51</v>
      </c>
      <c r="S185" s="130"/>
      <c r="T185" s="130"/>
      <c r="U185" s="15"/>
      <c r="V185" s="134"/>
      <c r="W185" s="4" t="s">
        <v>44</v>
      </c>
      <c r="X185" s="12">
        <f>0.9*$J185</f>
      </c>
      <c r="Y185" s="12">
        <f>1.5*J185</f>
      </c>
      <c r="Z185" s="4" t="s">
        <v>45</v>
      </c>
      <c r="AA185" s="11">
        <f>0.9*K185</f>
      </c>
      <c r="AB185" s="11">
        <f>1.3*K185</f>
      </c>
      <c r="AC185" s="4" t="s">
        <v>45</v>
      </c>
      <c r="AD185" s="13">
        <v>0.1</v>
      </c>
      <c r="AE185" s="11">
        <v>1</v>
      </c>
      <c r="AF185" s="11">
        <v>0</v>
      </c>
      <c r="AG185" s="4" t="s">
        <v>46</v>
      </c>
      <c r="AH185" s="61"/>
      <c r="AI185" s="61"/>
      <c r="AJ185" s="61"/>
    </row>
    <row x14ac:dyDescent="0.25" r="186" customHeight="1" ht="25.5">
      <c r="A186" s="6">
        <v>72</v>
      </c>
      <c r="B186" s="6">
        <f>IF(ISNUMBER(A186),
IF(AND(A186=INT(A186), MOD(A186, 10) = 0), 0,
IF(AND(A186=INT(A186), LEN(A186)=2), 1,
IF(AND(A186=INT(A186), LEN(A186)=3), 2,
LEN(A186) - FIND(".", A186) + 2)
)
),
"")</f>
      </c>
      <c r="C186" s="7" t="s">
        <v>712</v>
      </c>
      <c r="D186" s="8">
        <f>REPT("   ", B186*2) &amp; C186</f>
      </c>
      <c r="E186" s="9"/>
      <c r="F186" s="9"/>
      <c r="G186" s="9"/>
      <c r="H186" s="9"/>
      <c r="I186" s="9"/>
      <c r="J186" s="14"/>
      <c r="K186" s="14"/>
      <c r="L186" s="15"/>
      <c r="M186" s="7"/>
      <c r="N186" s="20"/>
      <c r="O186" s="15"/>
      <c r="P186" s="20"/>
      <c r="Q186" s="14"/>
      <c r="R186" s="15"/>
      <c r="S186" s="130"/>
      <c r="T186" s="130"/>
      <c r="U186" s="15"/>
      <c r="V186" s="134"/>
      <c r="W186" s="4"/>
      <c r="X186" s="12"/>
      <c r="Y186" s="12"/>
      <c r="Z186" s="4"/>
      <c r="AA186" s="13"/>
      <c r="AB186" s="13"/>
      <c r="AC186" s="4"/>
      <c r="AD186" s="13"/>
      <c r="AE186" s="11"/>
      <c r="AF186" s="11"/>
      <c r="AG186" s="4"/>
      <c r="AH186" s="61"/>
      <c r="AI186" s="61"/>
      <c r="AJ186" s="61"/>
    </row>
    <row x14ac:dyDescent="0.25" r="187" customHeight="1" ht="25.5">
      <c r="A187" s="6">
        <v>721</v>
      </c>
      <c r="B187" s="6">
        <f>IF(ISNUMBER(A187),
IF(AND(A187=INT(A187), MOD(A187, 10) = 0), 0,
IF(AND(A187=INT(A187), LEN(A187)=2), 1,
IF(AND(A187=INT(A187), LEN(A187)=3), 2,
LEN(A187) - FIND(".", A187) + 2)
)
),
"")</f>
      </c>
      <c r="C187" s="7" t="s">
        <v>659</v>
      </c>
      <c r="D187" s="8">
        <f>REPT("   ", B187*2) &amp; C187</f>
      </c>
      <c r="E187" s="7" t="s">
        <v>241</v>
      </c>
      <c r="F187" s="7" t="s">
        <v>659</v>
      </c>
      <c r="G187" s="7" t="s">
        <v>660</v>
      </c>
      <c r="H187" s="9"/>
      <c r="I187" s="9"/>
      <c r="J187" s="14"/>
      <c r="K187" s="14">
        <v>170</v>
      </c>
      <c r="L187" s="15" t="s">
        <v>261</v>
      </c>
      <c r="M187" s="7" t="s">
        <v>713</v>
      </c>
      <c r="N187" s="20"/>
      <c r="O187" s="15" t="s">
        <v>263</v>
      </c>
      <c r="P187" s="20"/>
      <c r="Q187" s="14">
        <v>2024</v>
      </c>
      <c r="R187" s="15" t="s">
        <v>294</v>
      </c>
      <c r="S187" s="130"/>
      <c r="T187" s="130"/>
      <c r="U187" s="25" t="s">
        <v>265</v>
      </c>
      <c r="V187" s="134"/>
      <c r="W187" s="4" t="s">
        <v>44</v>
      </c>
      <c r="X187" s="12">
        <f>0.9*$J187</f>
      </c>
      <c r="Y187" s="12">
        <f>1.5*J187</f>
      </c>
      <c r="Z187" s="4" t="s">
        <v>45</v>
      </c>
      <c r="AA187" s="11">
        <f>0.9*K187</f>
      </c>
      <c r="AB187" s="11">
        <f>1.3*K187</f>
      </c>
      <c r="AC187" s="4" t="s">
        <v>45</v>
      </c>
      <c r="AD187" s="13">
        <v>0.1</v>
      </c>
      <c r="AE187" s="11">
        <v>1</v>
      </c>
      <c r="AF187" s="11">
        <v>0</v>
      </c>
      <c r="AG187" s="4" t="s">
        <v>46</v>
      </c>
      <c r="AH187" s="61"/>
      <c r="AI187" s="61"/>
      <c r="AJ187" s="61"/>
    </row>
    <row x14ac:dyDescent="0.25" r="188" customHeight="1" ht="30">
      <c r="A188" s="6">
        <v>721</v>
      </c>
      <c r="B188" s="6">
        <v>2</v>
      </c>
      <c r="C188" s="7" t="s">
        <v>659</v>
      </c>
      <c r="D188" s="8">
        <f>REPT("   ", B188*2) &amp; C188</f>
      </c>
      <c r="E188" s="7" t="s">
        <v>241</v>
      </c>
      <c r="F188" s="7" t="s">
        <v>659</v>
      </c>
      <c r="G188" s="7" t="s">
        <v>661</v>
      </c>
      <c r="H188" s="9"/>
      <c r="I188" s="9"/>
      <c r="J188" s="14"/>
      <c r="K188" s="14">
        <v>118</v>
      </c>
      <c r="L188" s="15" t="s">
        <v>261</v>
      </c>
      <c r="M188" s="7" t="s">
        <v>713</v>
      </c>
      <c r="N188" s="20"/>
      <c r="O188" s="15" t="s">
        <v>263</v>
      </c>
      <c r="P188" s="20"/>
      <c r="Q188" s="14">
        <v>2023</v>
      </c>
      <c r="R188" s="15" t="s">
        <v>294</v>
      </c>
      <c r="S188" s="130"/>
      <c r="T188" s="130"/>
      <c r="U188" s="25"/>
      <c r="V188" s="134"/>
      <c r="W188" s="4" t="s">
        <v>44</v>
      </c>
      <c r="X188" s="12">
        <f>0.9*$J188</f>
      </c>
      <c r="Y188" s="12">
        <f>1.5*J188</f>
      </c>
      <c r="Z188" s="4" t="s">
        <v>45</v>
      </c>
      <c r="AA188" s="13">
        <f>0.9*K188</f>
      </c>
      <c r="AB188" s="13">
        <f>1.3*K188</f>
      </c>
      <c r="AC188" s="4" t="s">
        <v>45</v>
      </c>
      <c r="AD188" s="13">
        <v>0.1</v>
      </c>
      <c r="AE188" s="11">
        <v>1</v>
      </c>
      <c r="AF188" s="11">
        <v>0</v>
      </c>
      <c r="AG188" s="4" t="s">
        <v>46</v>
      </c>
      <c r="AH188" s="61"/>
      <c r="AI188" s="61"/>
      <c r="AJ188" s="61"/>
    </row>
    <row x14ac:dyDescent="0.25" r="189" customHeight="1" ht="15">
      <c r="A189" s="6">
        <v>722</v>
      </c>
      <c r="B189" s="6">
        <v>2</v>
      </c>
      <c r="C189" s="7" t="s">
        <v>714</v>
      </c>
      <c r="D189" s="8">
        <f>REPT("   ", B189*2) &amp; C189</f>
      </c>
      <c r="E189" s="7" t="s">
        <v>241</v>
      </c>
      <c r="F189" s="9"/>
      <c r="G189" s="9"/>
      <c r="H189" s="9"/>
      <c r="I189" s="9"/>
      <c r="J189" s="14"/>
      <c r="K189" s="14">
        <v>4.68</v>
      </c>
      <c r="L189" s="15" t="s">
        <v>705</v>
      </c>
      <c r="M189" s="7" t="s">
        <v>706</v>
      </c>
      <c r="N189" s="20"/>
      <c r="O189" s="15" t="s">
        <v>707</v>
      </c>
      <c r="P189" s="14">
        <v>1</v>
      </c>
      <c r="Q189" s="14">
        <v>2024</v>
      </c>
      <c r="R189" s="15" t="s">
        <v>253</v>
      </c>
      <c r="S189" s="61"/>
      <c r="T189" s="61"/>
      <c r="U189" s="25"/>
      <c r="V189" s="68" t="s">
        <v>715</v>
      </c>
      <c r="W189" s="4" t="s">
        <v>44</v>
      </c>
      <c r="X189" s="12">
        <f>0.9*$J189</f>
      </c>
      <c r="Y189" s="12">
        <f>1.5*J189</f>
      </c>
      <c r="Z189" s="4" t="s">
        <v>45</v>
      </c>
      <c r="AA189" s="11">
        <v>4</v>
      </c>
      <c r="AB189" s="13">
        <v>5.36</v>
      </c>
      <c r="AC189" s="4" t="s">
        <v>45</v>
      </c>
      <c r="AD189" s="13">
        <v>0.1</v>
      </c>
      <c r="AE189" s="11">
        <v>1</v>
      </c>
      <c r="AF189" s="11">
        <v>0</v>
      </c>
      <c r="AG189" s="4" t="s">
        <v>46</v>
      </c>
      <c r="AH189" s="61"/>
      <c r="AI189" s="61"/>
      <c r="AJ189" s="61"/>
    </row>
    <row x14ac:dyDescent="0.25" r="190" customHeight="1" ht="84.75">
      <c r="A190" s="6">
        <v>73</v>
      </c>
      <c r="B190" s="6">
        <f>IF(ISNUMBER(A190),
IF(AND(A190=INT(A190), MOD(A190, 10) = 0), 0,
IF(AND(A190=INT(A190), LEN(A190)=2), 1,
IF(AND(A190=INT(A190), LEN(A190)=3), 2,
LEN(A190) - FIND(".", A190) + 2)
)
),
"")</f>
      </c>
      <c r="C190" s="7" t="s">
        <v>716</v>
      </c>
      <c r="D190" s="8">
        <f>REPT("   ", B190*2) &amp; C190</f>
      </c>
      <c r="E190" s="7" t="s">
        <v>35</v>
      </c>
      <c r="F190" s="9"/>
      <c r="G190" s="9"/>
      <c r="H190" s="9"/>
      <c r="I190" s="9"/>
      <c r="J190" s="14">
        <f>(2/100)*5359000</f>
      </c>
      <c r="K190" s="14"/>
      <c r="L190" s="15"/>
      <c r="M190" s="7"/>
      <c r="N190" s="20"/>
      <c r="O190" s="15"/>
      <c r="P190" s="20"/>
      <c r="Q190" s="14">
        <v>2024</v>
      </c>
      <c r="R190" s="15" t="s">
        <v>51</v>
      </c>
      <c r="S190" s="118"/>
      <c r="T190" s="118"/>
      <c r="U190" s="25" t="s">
        <v>717</v>
      </c>
      <c r="V190" s="118"/>
      <c r="W190" s="68" t="s">
        <v>284</v>
      </c>
      <c r="X190" s="12">
        <f>0.9*$J190</f>
      </c>
      <c r="Y190" s="12">
        <f>1.5*J190</f>
      </c>
      <c r="Z190" s="4" t="s">
        <v>45</v>
      </c>
      <c r="AA190" s="13"/>
      <c r="AB190" s="13"/>
      <c r="AC190" s="4"/>
      <c r="AD190" s="13"/>
      <c r="AE190" s="11"/>
      <c r="AF190" s="11"/>
      <c r="AG190" s="4"/>
      <c r="AH190" s="61"/>
      <c r="AI190" s="61"/>
      <c r="AJ190" s="61"/>
    </row>
    <row x14ac:dyDescent="0.25" r="191" customHeight="1" ht="15">
      <c r="A191" s="6">
        <v>75</v>
      </c>
      <c r="B191" s="6">
        <f>IF(ISNUMBER(A191),
IF(AND(A191=INT(A191), MOD(A191, 10) = 0), 0,
IF(AND(A191=INT(A191), LEN(A191)=2), 1,
IF(AND(A191=INT(A191), LEN(A191)=3), 2,
LEN(A191) - FIND(".", A191) + 2)
)
),
"")</f>
      </c>
      <c r="C191" s="7" t="s">
        <v>267</v>
      </c>
      <c r="D191" s="8">
        <f>REPT("   ", B191*2) &amp; C191</f>
      </c>
      <c r="E191" s="9"/>
      <c r="F191" s="9"/>
      <c r="G191" s="9"/>
      <c r="H191" s="9"/>
      <c r="I191" s="9"/>
      <c r="J191" s="14"/>
      <c r="K191" s="14"/>
      <c r="L191" s="15"/>
      <c r="M191" s="7"/>
      <c r="N191" s="20"/>
      <c r="O191" s="15"/>
      <c r="P191" s="20"/>
      <c r="Q191" s="14"/>
      <c r="R191" s="15"/>
      <c r="S191" s="7" t="s">
        <v>718</v>
      </c>
      <c r="T191" s="7" t="s">
        <v>718</v>
      </c>
      <c r="U191" s="15"/>
      <c r="V191" s="7" t="s">
        <v>719</v>
      </c>
      <c r="W191" s="4"/>
      <c r="X191" s="12"/>
      <c r="Y191" s="12"/>
      <c r="Z191" s="4"/>
      <c r="AA191" s="13"/>
      <c r="AB191" s="13"/>
      <c r="AC191" s="4"/>
      <c r="AD191" s="13"/>
      <c r="AE191" s="11"/>
      <c r="AF191" s="11"/>
      <c r="AG191" s="4"/>
      <c r="AH191" s="61"/>
      <c r="AI191" s="61"/>
      <c r="AJ191" s="61"/>
    </row>
    <row x14ac:dyDescent="0.25" r="192" customHeight="1" ht="28.5">
      <c r="A192" s="6">
        <v>751</v>
      </c>
      <c r="B192" s="6">
        <f>IF(ISNUMBER(A192),
IF(AND(A192=INT(A192), MOD(A192, 10) = 0), 0,
IF(AND(A192=INT(A192), LEN(A192)=2), 1,
IF(AND(A192=INT(A192), LEN(A192)=3), 2,
LEN(A192) - FIND(".", A192) + 2)
)
),
"")</f>
      </c>
      <c r="C192" s="7" t="s">
        <v>720</v>
      </c>
      <c r="D192" s="8">
        <f>REPT("   ", B192*2) &amp; C192</f>
      </c>
      <c r="E192" s="9"/>
      <c r="F192" s="9"/>
      <c r="G192" s="9"/>
      <c r="H192" s="9"/>
      <c r="I192" s="9"/>
      <c r="J192" s="14"/>
      <c r="K192" s="14"/>
      <c r="L192" s="15"/>
      <c r="M192" s="7"/>
      <c r="N192" s="20"/>
      <c r="O192" s="15"/>
      <c r="P192" s="20"/>
      <c r="Q192" s="14"/>
      <c r="R192" s="15"/>
      <c r="S192" s="41" t="s">
        <v>718</v>
      </c>
      <c r="T192" s="41" t="s">
        <v>718</v>
      </c>
      <c r="U192" s="15"/>
      <c r="V192" s="41" t="s">
        <v>719</v>
      </c>
      <c r="W192" s="4"/>
      <c r="X192" s="12"/>
      <c r="Y192" s="12"/>
      <c r="Z192" s="4"/>
      <c r="AA192" s="13"/>
      <c r="AB192" s="13"/>
      <c r="AC192" s="4"/>
      <c r="AD192" s="13"/>
      <c r="AE192" s="11"/>
      <c r="AF192" s="11"/>
      <c r="AG192" s="4"/>
      <c r="AH192" s="61"/>
      <c r="AI192" s="61"/>
      <c r="AJ192" s="61"/>
    </row>
    <row x14ac:dyDescent="0.25" r="193" customHeight="1" ht="23.25">
      <c r="A193" s="6">
        <v>752</v>
      </c>
      <c r="B193" s="6">
        <f>IF(ISNUMBER(A193),
IF(AND(A193=INT(A193), MOD(A193, 10) = 0), 0,
IF(AND(A193=INT(A193), LEN(A193)=2), 1,
IF(AND(A193=INT(A193), LEN(A193)=3), 2,
LEN(A193) - FIND(".", A193) + 2)
)
),
"")</f>
      </c>
      <c r="C193" s="7" t="s">
        <v>721</v>
      </c>
      <c r="D193" s="8">
        <f>REPT("   ", B193*2) &amp; C193</f>
      </c>
      <c r="E193" s="9"/>
      <c r="F193" s="9"/>
      <c r="G193" s="9"/>
      <c r="H193" s="9"/>
      <c r="I193" s="9"/>
      <c r="J193" s="14"/>
      <c r="K193" s="14"/>
      <c r="L193" s="15"/>
      <c r="M193" s="7"/>
      <c r="N193" s="20"/>
      <c r="O193" s="15"/>
      <c r="P193" s="20"/>
      <c r="Q193" s="14"/>
      <c r="R193" s="15"/>
      <c r="S193" s="116"/>
      <c r="T193" s="116"/>
      <c r="U193" s="15"/>
      <c r="V193" s="116"/>
      <c r="W193" s="4"/>
      <c r="X193" s="12"/>
      <c r="Y193" s="12"/>
      <c r="Z193" s="4"/>
      <c r="AA193" s="13"/>
      <c r="AB193" s="13"/>
      <c r="AC193" s="4"/>
      <c r="AD193" s="13"/>
      <c r="AE193" s="11"/>
      <c r="AF193" s="11"/>
      <c r="AG193" s="4"/>
      <c r="AH193" s="61"/>
      <c r="AI193" s="61"/>
      <c r="AJ193" s="61"/>
    </row>
    <row x14ac:dyDescent="0.25" r="194" customHeight="1" ht="23.25">
      <c r="A194" s="6">
        <v>753</v>
      </c>
      <c r="B194" s="6">
        <f>IF(ISNUMBER(A194),
IF(AND(A194=INT(A194), MOD(A194, 10) = 0), 0,
IF(AND(A194=INT(A194), LEN(A194)=2), 1,
IF(AND(A194=INT(A194), LEN(A194)=3), 2,
LEN(A194) - FIND(".", A194) + 2)
)
),
"")</f>
      </c>
      <c r="C194" s="7" t="s">
        <v>722</v>
      </c>
      <c r="D194" s="8">
        <f>REPT("   ", B194*2) &amp; C194</f>
      </c>
      <c r="E194" s="9"/>
      <c r="F194" s="9"/>
      <c r="G194" s="9"/>
      <c r="H194" s="9"/>
      <c r="I194" s="9"/>
      <c r="J194" s="14"/>
      <c r="K194" s="14"/>
      <c r="L194" s="15"/>
      <c r="M194" s="7"/>
      <c r="N194" s="20"/>
      <c r="O194" s="15"/>
      <c r="P194" s="20"/>
      <c r="Q194" s="14"/>
      <c r="R194" s="15"/>
      <c r="S194" s="116"/>
      <c r="T194" s="116"/>
      <c r="U194" s="15"/>
      <c r="V194" s="116"/>
      <c r="W194" s="4"/>
      <c r="X194" s="12"/>
      <c r="Y194" s="12"/>
      <c r="Z194" s="4"/>
      <c r="AA194" s="13"/>
      <c r="AB194" s="13"/>
      <c r="AC194" s="4"/>
      <c r="AD194" s="13"/>
      <c r="AE194" s="11"/>
      <c r="AF194" s="11"/>
      <c r="AG194" s="4"/>
      <c r="AH194" s="61"/>
      <c r="AI194" s="61"/>
      <c r="AJ194" s="61"/>
    </row>
    <row x14ac:dyDescent="0.25" r="195" customHeight="1" ht="13.5">
      <c r="A195" s="6">
        <v>754</v>
      </c>
      <c r="B195" s="6">
        <f>IF(ISNUMBER(A195),
IF(AND(A195=INT(A195), MOD(A195, 10) = 0), 0,
IF(AND(A195=INT(A195), LEN(A195)=2), 1,
IF(AND(A195=INT(A195), LEN(A195)=3), 2,
LEN(A195) - FIND(".", A195) + 2)
)
),
"")</f>
      </c>
      <c r="C195" s="7" t="s">
        <v>723</v>
      </c>
      <c r="D195" s="8">
        <f>REPT("   ", B195*2) &amp; C195</f>
      </c>
      <c r="E195" s="9"/>
      <c r="F195" s="9"/>
      <c r="G195" s="9"/>
      <c r="H195" s="9"/>
      <c r="I195" s="9"/>
      <c r="J195" s="14"/>
      <c r="K195" s="14"/>
      <c r="L195" s="15"/>
      <c r="M195" s="7"/>
      <c r="N195" s="20"/>
      <c r="O195" s="15"/>
      <c r="P195" s="20"/>
      <c r="Q195" s="14"/>
      <c r="R195" s="15"/>
      <c r="S195" s="116"/>
      <c r="T195" s="116"/>
      <c r="U195" s="15"/>
      <c r="V195" s="116"/>
      <c r="W195" s="4"/>
      <c r="X195" s="12"/>
      <c r="Y195" s="12"/>
      <c r="Z195" s="4"/>
      <c r="AA195" s="13"/>
      <c r="AB195" s="13"/>
      <c r="AC195" s="4"/>
      <c r="AD195" s="13"/>
      <c r="AE195" s="11"/>
      <c r="AF195" s="11"/>
      <c r="AG195" s="4"/>
      <c r="AH195" s="61"/>
      <c r="AI195" s="61"/>
      <c r="AJ195" s="61"/>
    </row>
    <row x14ac:dyDescent="0.25" r="196" customHeight="1" ht="57">
      <c r="A196" s="6">
        <v>755</v>
      </c>
      <c r="B196" s="6">
        <f>IF(ISNUMBER(A196),
IF(AND(A196=INT(A196), MOD(A196, 10) = 0), 0,
IF(AND(A196=INT(A196), LEN(A196)=2), 1,
IF(AND(A196=INT(A196), LEN(A196)=3), 2,
LEN(A196) - FIND(".", A196) + 2)
)
),
"")</f>
      </c>
      <c r="C196" s="7" t="s">
        <v>724</v>
      </c>
      <c r="D196" s="8">
        <f>REPT("   ", B196*2) &amp; C196</f>
      </c>
      <c r="E196" s="9"/>
      <c r="F196" s="9"/>
      <c r="G196" s="9"/>
      <c r="H196" s="9"/>
      <c r="I196" s="9"/>
      <c r="J196" s="14"/>
      <c r="K196" s="14"/>
      <c r="L196" s="15"/>
      <c r="M196" s="7"/>
      <c r="N196" s="20"/>
      <c r="O196" s="15"/>
      <c r="P196" s="20"/>
      <c r="Q196" s="14"/>
      <c r="R196" s="15"/>
      <c r="S196" s="116"/>
      <c r="T196" s="116"/>
      <c r="U196" s="15"/>
      <c r="V196" s="116"/>
      <c r="W196" s="4"/>
      <c r="X196" s="12"/>
      <c r="Y196" s="12"/>
      <c r="Z196" s="4"/>
      <c r="AA196" s="13"/>
      <c r="AB196" s="13"/>
      <c r="AC196" s="4"/>
      <c r="AD196" s="13"/>
      <c r="AE196" s="11"/>
      <c r="AF196" s="11"/>
      <c r="AG196" s="4"/>
      <c r="AH196" s="61"/>
      <c r="AI196" s="61"/>
      <c r="AJ196" s="61"/>
    </row>
    <row x14ac:dyDescent="0.25" r="197" customHeight="1" ht="13.5">
      <c r="A197" s="6">
        <v>756</v>
      </c>
      <c r="B197" s="6">
        <f>IF(ISNUMBER(A197),
IF(AND(A197=INT(A197), MOD(A197, 10) = 0), 0,
IF(AND(A197=INT(A197), LEN(A197)=2), 1,
IF(AND(A197=INT(A197), LEN(A197)=3), 2,
LEN(A197) - FIND(".", A197) + 2)
)
),
"")</f>
      </c>
      <c r="C197" s="7" t="s">
        <v>725</v>
      </c>
      <c r="D197" s="8">
        <f>REPT("   ", B197*2) &amp; C197</f>
      </c>
      <c r="E197" s="9"/>
      <c r="F197" s="9"/>
      <c r="G197" s="9"/>
      <c r="H197" s="9"/>
      <c r="I197" s="9"/>
      <c r="J197" s="14"/>
      <c r="K197" s="14"/>
      <c r="L197" s="15"/>
      <c r="M197" s="7"/>
      <c r="N197" s="20"/>
      <c r="O197" s="15"/>
      <c r="P197" s="20"/>
      <c r="Q197" s="14"/>
      <c r="R197" s="15"/>
      <c r="S197" s="116"/>
      <c r="T197" s="116"/>
      <c r="U197" s="15"/>
      <c r="V197" s="116"/>
      <c r="W197" s="4"/>
      <c r="X197" s="12"/>
      <c r="Y197" s="12"/>
      <c r="Z197" s="4"/>
      <c r="AA197" s="13"/>
      <c r="AB197" s="13"/>
      <c r="AC197" s="4"/>
      <c r="AD197" s="13"/>
      <c r="AE197" s="11"/>
      <c r="AF197" s="11"/>
      <c r="AG197" s="4"/>
      <c r="AH197" s="61"/>
      <c r="AI197" s="61"/>
      <c r="AJ197" s="61"/>
    </row>
    <row x14ac:dyDescent="0.25" r="198" customHeight="1" ht="68.25">
      <c r="A198" s="6">
        <v>759</v>
      </c>
      <c r="B198" s="6">
        <f>IF(ISNUMBER(A198),
IF(AND(A198=INT(A198), MOD(A198, 10) = 0), 0,
IF(AND(A198=INT(A198), LEN(A198)=2), 1,
IF(AND(A198=INT(A198), LEN(A198)=3), 2,
LEN(A198) - FIND(".", A198) + 2)
)
),
"")</f>
      </c>
      <c r="C198" s="7" t="s">
        <v>726</v>
      </c>
      <c r="D198" s="8">
        <f>REPT("   ", B198*2) &amp; C198</f>
      </c>
      <c r="E198" s="9"/>
      <c r="F198" s="9"/>
      <c r="G198" s="9"/>
      <c r="H198" s="9"/>
      <c r="I198" s="9"/>
      <c r="J198" s="14"/>
      <c r="K198" s="14"/>
      <c r="L198" s="15"/>
      <c r="M198" s="7"/>
      <c r="N198" s="20"/>
      <c r="O198" s="15"/>
      <c r="P198" s="20"/>
      <c r="Q198" s="14"/>
      <c r="R198" s="15"/>
      <c r="S198" s="118"/>
      <c r="T198" s="118"/>
      <c r="U198" s="15"/>
      <c r="V198" s="118"/>
      <c r="W198" s="4"/>
      <c r="X198" s="12"/>
      <c r="Y198" s="12"/>
      <c r="Z198" s="4"/>
      <c r="AA198" s="13"/>
      <c r="AB198" s="13"/>
      <c r="AC198" s="4"/>
      <c r="AD198" s="13"/>
      <c r="AE198" s="11"/>
      <c r="AF198" s="11"/>
      <c r="AG198" s="4"/>
      <c r="AH198" s="61"/>
      <c r="AI198" s="61"/>
      <c r="AJ198" s="61"/>
    </row>
    <row x14ac:dyDescent="0.25" r="199" customHeight="1" ht="13.5">
      <c r="A199" s="6">
        <v>78</v>
      </c>
      <c r="B199" s="6">
        <v>1</v>
      </c>
      <c r="C199" s="7" t="s">
        <v>268</v>
      </c>
      <c r="D199" s="8">
        <f>REPT("   ", B199*2) &amp; C199</f>
      </c>
      <c r="E199" s="9"/>
      <c r="F199" s="9"/>
      <c r="G199" s="9"/>
      <c r="H199" s="9"/>
      <c r="I199" s="9"/>
      <c r="J199" s="14"/>
      <c r="K199" s="133"/>
      <c r="L199" s="15"/>
      <c r="M199" s="15"/>
      <c r="N199" s="20"/>
      <c r="O199" s="15"/>
      <c r="P199" s="20"/>
      <c r="Q199" s="14"/>
      <c r="R199" s="15"/>
      <c r="S199" s="7"/>
      <c r="T199" s="7"/>
      <c r="U199" s="15"/>
      <c r="V199" s="7" t="s">
        <v>727</v>
      </c>
      <c r="W199" s="4"/>
      <c r="X199" s="12"/>
      <c r="Y199" s="12"/>
      <c r="Z199" s="4"/>
      <c r="AA199" s="13"/>
      <c r="AB199" s="13"/>
      <c r="AC199" s="4"/>
      <c r="AD199" s="13"/>
      <c r="AE199" s="11"/>
      <c r="AF199" s="11"/>
      <c r="AG199" s="4"/>
      <c r="AH199" s="61"/>
      <c r="AI199" s="61"/>
      <c r="AJ199" s="61"/>
    </row>
    <row x14ac:dyDescent="0.25" r="200" customHeight="1" ht="23.25">
      <c r="A200" s="6">
        <v>80</v>
      </c>
      <c r="B200" s="6">
        <v>0</v>
      </c>
      <c r="C200" s="15" t="s">
        <v>728</v>
      </c>
      <c r="D200" s="8">
        <f>REPT("   ", B200*2) &amp; C200</f>
      </c>
      <c r="E200" s="9"/>
      <c r="F200" s="9"/>
      <c r="G200" s="9"/>
      <c r="H200" s="9"/>
      <c r="I200" s="9"/>
      <c r="J200" s="11"/>
      <c r="K200" s="11"/>
      <c r="L200" s="6"/>
      <c r="M200" s="1"/>
      <c r="N200" s="6"/>
      <c r="O200" s="6"/>
      <c r="P200" s="6"/>
      <c r="Q200" s="11"/>
      <c r="R200" s="6"/>
      <c r="S200" s="1"/>
      <c r="T200" s="6"/>
      <c r="U200" s="6"/>
      <c r="V200" s="6"/>
      <c r="W200" s="4"/>
      <c r="X200" s="12"/>
      <c r="Y200" s="12"/>
      <c r="Z200" s="4"/>
      <c r="AA200" s="13"/>
      <c r="AB200" s="13"/>
      <c r="AC200" s="4"/>
      <c r="AD200" s="13"/>
      <c r="AE200" s="11"/>
      <c r="AF200" s="11"/>
      <c r="AG200" s="4"/>
      <c r="AH200" s="61"/>
      <c r="AI200" s="61"/>
      <c r="AJ200" s="61"/>
    </row>
    <row x14ac:dyDescent="0.25" r="201" customHeight="1" ht="23.25">
      <c r="A201" s="6">
        <v>81</v>
      </c>
      <c r="B201" s="6">
        <f>IF(ISNUMBER(A201),
IF(AND(A201=INT(A201), MOD(A201, 10) = 0), 0,
IF(AND(A201=INT(A201), LEN(A201)=2), 1,
IF(AND(A201=INT(A201), LEN(A201)=3), 2,
LEN(A201) - FIND(".", A201) + 2)
)
),
"")</f>
      </c>
      <c r="C201" s="7" t="s">
        <v>729</v>
      </c>
      <c r="D201" s="8">
        <f>REPT("   ", B201*2) &amp; C201</f>
      </c>
      <c r="E201" s="7" t="s">
        <v>241</v>
      </c>
      <c r="F201" s="9"/>
      <c r="G201" s="9"/>
      <c r="H201" s="9"/>
      <c r="I201" s="9"/>
      <c r="J201" s="14"/>
      <c r="K201" s="14">
        <v>178500</v>
      </c>
      <c r="L201" s="15" t="s">
        <v>235</v>
      </c>
      <c r="M201" s="7" t="s">
        <v>236</v>
      </c>
      <c r="N201" s="20"/>
      <c r="O201" s="15"/>
      <c r="P201" s="14">
        <v>1</v>
      </c>
      <c r="Q201" s="14">
        <v>2024</v>
      </c>
      <c r="R201" s="15" t="s">
        <v>51</v>
      </c>
      <c r="S201" s="7"/>
      <c r="T201" s="7" t="s">
        <v>237</v>
      </c>
      <c r="U201" s="15"/>
      <c r="V201" s="15"/>
      <c r="W201" s="4" t="s">
        <v>44</v>
      </c>
      <c r="X201" s="12">
        <f>0.9*$J201</f>
      </c>
      <c r="Y201" s="12">
        <f>1.5*J201</f>
      </c>
      <c r="Z201" s="4" t="s">
        <v>45</v>
      </c>
      <c r="AA201" s="11">
        <f>0.9*K201</f>
      </c>
      <c r="AB201" s="11">
        <f>1.3*K201</f>
      </c>
      <c r="AC201" s="4" t="s">
        <v>45</v>
      </c>
      <c r="AD201" s="13">
        <v>0.1</v>
      </c>
      <c r="AE201" s="11">
        <v>1</v>
      </c>
      <c r="AF201" s="11">
        <v>0</v>
      </c>
      <c r="AG201" s="4" t="s">
        <v>46</v>
      </c>
      <c r="AH201" s="61"/>
      <c r="AI201" s="61"/>
      <c r="AJ201" s="61"/>
    </row>
    <row x14ac:dyDescent="0.25" r="202" customHeight="1" ht="13.5">
      <c r="A202" s="6">
        <v>82</v>
      </c>
      <c r="B202" s="6">
        <f>IF(ISNUMBER(A202),
IF(AND(A202=INT(A202), MOD(A202, 10) = 0), 0,
IF(AND(A202=INT(A202), LEN(A202)=2), 1,
IF(AND(A202=INT(A202), LEN(A202)=3), 2,
LEN(A202) - FIND(".", A202) + 2)
)
),
"")</f>
      </c>
      <c r="C202" s="7" t="s">
        <v>730</v>
      </c>
      <c r="D202" s="8">
        <f>REPT("   ", B202*2) &amp; C202</f>
      </c>
      <c r="E202" s="9"/>
      <c r="F202" s="9"/>
      <c r="G202" s="9"/>
      <c r="H202" s="9"/>
      <c r="I202" s="9"/>
      <c r="J202" s="14"/>
      <c r="K202" s="14"/>
      <c r="L202" s="15"/>
      <c r="M202" s="7"/>
      <c r="N202" s="20"/>
      <c r="O202" s="15"/>
      <c r="P202" s="20"/>
      <c r="Q202" s="14"/>
      <c r="R202" s="15"/>
      <c r="S202" s="7"/>
      <c r="T202" s="15"/>
      <c r="U202" s="15"/>
      <c r="V202" s="15"/>
      <c r="W202" s="4"/>
      <c r="X202" s="12"/>
      <c r="Y202" s="12"/>
      <c r="Z202" s="4"/>
      <c r="AA202" s="13"/>
      <c r="AB202" s="13"/>
      <c r="AC202" s="4"/>
      <c r="AD202" s="13"/>
      <c r="AE202" s="11"/>
      <c r="AF202" s="11"/>
      <c r="AG202" s="4"/>
      <c r="AH202" s="61"/>
      <c r="AI202" s="61"/>
      <c r="AJ202" s="61"/>
    </row>
    <row x14ac:dyDescent="0.25" r="203" customHeight="1" ht="23.25">
      <c r="A203" s="6">
        <v>83</v>
      </c>
      <c r="B203" s="6">
        <f>IF(ISNUMBER(A203),
IF(AND(A203=INT(A203), MOD(A203, 10) = 0), 0,
IF(AND(A203=INT(A203), LEN(A203)=2), 1,
IF(AND(A203=INT(A203), LEN(A203)=3), 2,
LEN(A203) - FIND(".", A203) + 2)
)
),
"")</f>
      </c>
      <c r="C203" s="7" t="s">
        <v>731</v>
      </c>
      <c r="D203" s="8">
        <f>REPT("   ", B203*2) &amp; C203</f>
      </c>
      <c r="E203" s="7" t="s">
        <v>35</v>
      </c>
      <c r="F203" s="9"/>
      <c r="G203" s="9"/>
      <c r="H203" s="9"/>
      <c r="I203" s="9"/>
      <c r="J203" s="14"/>
      <c r="K203" s="14">
        <v>1</v>
      </c>
      <c r="L203" s="15" t="s">
        <v>732</v>
      </c>
      <c r="M203" s="7" t="s">
        <v>733</v>
      </c>
      <c r="N203" s="20"/>
      <c r="O203" s="15"/>
      <c r="P203" s="14">
        <v>1</v>
      </c>
      <c r="Q203" s="14">
        <v>2024</v>
      </c>
      <c r="R203" s="15" t="s">
        <v>86</v>
      </c>
      <c r="S203" s="7"/>
      <c r="T203" s="15"/>
      <c r="U203" s="15"/>
      <c r="V203" s="15"/>
      <c r="W203" s="4" t="s">
        <v>44</v>
      </c>
      <c r="X203" s="12">
        <f>0.9*$J203</f>
      </c>
      <c r="Y203" s="12">
        <f>1.5*J203</f>
      </c>
      <c r="Z203" s="4" t="s">
        <v>45</v>
      </c>
      <c r="AA203" s="13">
        <f>0.9*K203</f>
      </c>
      <c r="AB203" s="13">
        <f>1.3*K203</f>
      </c>
      <c r="AC203" s="4" t="s">
        <v>45</v>
      </c>
      <c r="AD203" s="13">
        <v>0.1</v>
      </c>
      <c r="AE203" s="11">
        <v>1</v>
      </c>
      <c r="AF203" s="11">
        <v>0</v>
      </c>
      <c r="AG203" s="4" t="s">
        <v>46</v>
      </c>
      <c r="AH203" s="61"/>
      <c r="AI203" s="61"/>
      <c r="AJ203" s="61"/>
    </row>
    <row x14ac:dyDescent="0.25" r="204" customHeight="1" ht="18.75">
      <c r="A204" s="135"/>
      <c r="B204" s="136"/>
      <c r="C204" s="137"/>
      <c r="D204" s="122"/>
      <c r="E204" s="122"/>
      <c r="F204" s="122"/>
      <c r="G204" s="138"/>
      <c r="H204" s="122"/>
      <c r="I204" s="122"/>
      <c r="J204" s="139"/>
      <c r="K204" s="139"/>
      <c r="L204" s="140"/>
      <c r="M204" s="137"/>
      <c r="N204" s="135"/>
      <c r="O204" s="140"/>
      <c r="P204" s="135"/>
      <c r="Q204" s="139"/>
      <c r="R204" s="140"/>
      <c r="S204" s="137"/>
      <c r="T204" s="137"/>
      <c r="U204" s="61"/>
      <c r="V204" s="140"/>
      <c r="W204" s="141"/>
      <c r="X204" s="142"/>
      <c r="Y204" s="142"/>
      <c r="Z204" s="141"/>
      <c r="AA204" s="143"/>
      <c r="AB204" s="143"/>
      <c r="AC204" s="141"/>
      <c r="AD204" s="144"/>
      <c r="AE204" s="145"/>
      <c r="AF204" s="145"/>
      <c r="AG204" s="141"/>
      <c r="AH204" s="61"/>
      <c r="AI204" s="61"/>
      <c r="AJ204" s="61"/>
    </row>
    <row x14ac:dyDescent="0.25" r="205" customHeight="1" ht="18.75">
      <c r="A205" s="135"/>
      <c r="B205" s="136"/>
      <c r="C205" s="137"/>
      <c r="D205" s="122"/>
      <c r="E205" s="122"/>
      <c r="F205" s="122"/>
      <c r="G205" s="138"/>
      <c r="H205" s="122"/>
      <c r="I205" s="122"/>
      <c r="J205" s="139"/>
      <c r="K205" s="139"/>
      <c r="L205" s="140"/>
      <c r="M205" s="137"/>
      <c r="N205" s="135"/>
      <c r="O205" s="140"/>
      <c r="P205" s="135"/>
      <c r="Q205" s="139"/>
      <c r="R205" s="140"/>
      <c r="S205" s="137"/>
      <c r="T205" s="137"/>
      <c r="U205" s="61"/>
      <c r="V205" s="140"/>
      <c r="W205" s="141"/>
      <c r="X205" s="142"/>
      <c r="Y205" s="142"/>
      <c r="Z205" s="141"/>
      <c r="AA205" s="143"/>
      <c r="AB205" s="143"/>
      <c r="AC205" s="141"/>
      <c r="AD205" s="144"/>
      <c r="AE205" s="145"/>
      <c r="AF205" s="145"/>
      <c r="AG205" s="141"/>
      <c r="AH205" s="61"/>
      <c r="AI205" s="61"/>
      <c r="AJ205" s="61"/>
    </row>
    <row x14ac:dyDescent="0.25" r="206" customHeight="1" ht="18.75">
      <c r="A206" s="135"/>
      <c r="B206" s="136"/>
      <c r="C206" s="137"/>
      <c r="D206" s="122"/>
      <c r="E206" s="122"/>
      <c r="F206" s="122"/>
      <c r="G206" s="138"/>
      <c r="H206" s="122"/>
      <c r="I206" s="122"/>
      <c r="J206" s="139"/>
      <c r="K206" s="139"/>
      <c r="L206" s="140"/>
      <c r="M206" s="137"/>
      <c r="N206" s="135"/>
      <c r="O206" s="140"/>
      <c r="P206" s="135"/>
      <c r="Q206" s="139"/>
      <c r="R206" s="140"/>
      <c r="S206" s="137"/>
      <c r="T206" s="137"/>
      <c r="U206" s="61"/>
      <c r="V206" s="140"/>
      <c r="W206" s="141"/>
      <c r="X206" s="142"/>
      <c r="Y206" s="142"/>
      <c r="Z206" s="141"/>
      <c r="AA206" s="143"/>
      <c r="AB206" s="143"/>
      <c r="AC206" s="141"/>
      <c r="AD206" s="144"/>
      <c r="AE206" s="145"/>
      <c r="AF206" s="145"/>
      <c r="AG206" s="141"/>
      <c r="AH206" s="61"/>
      <c r="AI206" s="61"/>
      <c r="AJ206" s="61"/>
    </row>
    <row x14ac:dyDescent="0.25" r="207" customHeight="1" ht="18.75">
      <c r="A207" s="135"/>
      <c r="B207" s="136"/>
      <c r="C207" s="137"/>
      <c r="D207" s="122"/>
      <c r="E207" s="122"/>
      <c r="F207" s="122"/>
      <c r="G207" s="138"/>
      <c r="H207" s="122"/>
      <c r="I207" s="122"/>
      <c r="J207" s="139"/>
      <c r="K207" s="139"/>
      <c r="L207" s="140"/>
      <c r="M207" s="137"/>
      <c r="N207" s="135"/>
      <c r="O207" s="140"/>
      <c r="P207" s="135"/>
      <c r="Q207" s="139"/>
      <c r="R207" s="140"/>
      <c r="S207" s="137"/>
      <c r="T207" s="137"/>
      <c r="U207" s="61"/>
      <c r="V207" s="140"/>
      <c r="W207" s="141"/>
      <c r="X207" s="142"/>
      <c r="Y207" s="142"/>
      <c r="Z207" s="141"/>
      <c r="AA207" s="143"/>
      <c r="AB207" s="143"/>
      <c r="AC207" s="141"/>
      <c r="AD207" s="144"/>
      <c r="AE207" s="145"/>
      <c r="AF207" s="145"/>
      <c r="AG207" s="141"/>
      <c r="AH207" s="61"/>
      <c r="AI207" s="61"/>
      <c r="AJ207" s="61"/>
    </row>
    <row x14ac:dyDescent="0.25" r="208" customHeight="1" ht="18.75">
      <c r="A208" s="135"/>
      <c r="B208" s="136"/>
      <c r="C208" s="137"/>
      <c r="D208" s="122"/>
      <c r="E208" s="122"/>
      <c r="F208" s="122"/>
      <c r="G208" s="138"/>
      <c r="H208" s="122"/>
      <c r="I208" s="122"/>
      <c r="J208" s="139"/>
      <c r="K208" s="139"/>
      <c r="L208" s="140"/>
      <c r="M208" s="137"/>
      <c r="N208" s="135"/>
      <c r="O208" s="140"/>
      <c r="P208" s="135"/>
      <c r="Q208" s="139"/>
      <c r="R208" s="140"/>
      <c r="S208" s="137"/>
      <c r="T208" s="137"/>
      <c r="U208" s="61"/>
      <c r="V208" s="140"/>
      <c r="W208" s="141"/>
      <c r="X208" s="142"/>
      <c r="Y208" s="142"/>
      <c r="Z208" s="141"/>
      <c r="AA208" s="143"/>
      <c r="AB208" s="143"/>
      <c r="AC208" s="141"/>
      <c r="AD208" s="144"/>
      <c r="AE208" s="145"/>
      <c r="AF208" s="145"/>
      <c r="AG208" s="141"/>
      <c r="AH208" s="61"/>
      <c r="AI208" s="61"/>
      <c r="AJ208" s="61"/>
    </row>
    <row x14ac:dyDescent="0.25" r="209" customHeight="1" ht="18.75">
      <c r="A209" s="135"/>
      <c r="B209" s="136"/>
      <c r="C209" s="137"/>
      <c r="D209" s="122"/>
      <c r="E209" s="122"/>
      <c r="F209" s="122"/>
      <c r="G209" s="138"/>
      <c r="H209" s="122"/>
      <c r="I209" s="122"/>
      <c r="J209" s="139"/>
      <c r="K209" s="139"/>
      <c r="L209" s="140"/>
      <c r="M209" s="137"/>
      <c r="N209" s="135"/>
      <c r="O209" s="140"/>
      <c r="P209" s="135"/>
      <c r="Q209" s="139"/>
      <c r="R209" s="140"/>
      <c r="S209" s="137"/>
      <c r="T209" s="137"/>
      <c r="U209" s="61"/>
      <c r="V209" s="140"/>
      <c r="W209" s="141"/>
      <c r="X209" s="142"/>
      <c r="Y209" s="142"/>
      <c r="Z209" s="141"/>
      <c r="AA209" s="143"/>
      <c r="AB209" s="143"/>
      <c r="AC209" s="141"/>
      <c r="AD209" s="144"/>
      <c r="AE209" s="145"/>
      <c r="AF209" s="145"/>
      <c r="AG209" s="141"/>
      <c r="AH209" s="61"/>
      <c r="AI209" s="61"/>
      <c r="AJ209" s="61"/>
    </row>
    <row x14ac:dyDescent="0.25" r="210" customHeight="1" ht="18.75">
      <c r="A210" s="135"/>
      <c r="B210" s="136"/>
      <c r="C210" s="137"/>
      <c r="D210" s="122"/>
      <c r="E210" s="122"/>
      <c r="F210" s="122"/>
      <c r="G210" s="138"/>
      <c r="H210" s="122"/>
      <c r="I210" s="122"/>
      <c r="J210" s="139"/>
      <c r="K210" s="139"/>
      <c r="L210" s="140"/>
      <c r="M210" s="137"/>
      <c r="N210" s="135"/>
      <c r="O210" s="140"/>
      <c r="P210" s="135"/>
      <c r="Q210" s="139"/>
      <c r="R210" s="140"/>
      <c r="S210" s="137"/>
      <c r="T210" s="137"/>
      <c r="U210" s="61"/>
      <c r="V210" s="140"/>
      <c r="W210" s="141"/>
      <c r="X210" s="142"/>
      <c r="Y210" s="142"/>
      <c r="Z210" s="141"/>
      <c r="AA210" s="143"/>
      <c r="AB210" s="143"/>
      <c r="AC210" s="141"/>
      <c r="AD210" s="144"/>
      <c r="AE210" s="145"/>
      <c r="AF210" s="145"/>
      <c r="AG210" s="141"/>
      <c r="AH210" s="61"/>
      <c r="AI210" s="61"/>
      <c r="AJ210" s="61"/>
    </row>
    <row x14ac:dyDescent="0.25" r="211" customHeight="1" ht="18.75">
      <c r="A211" s="135"/>
      <c r="B211" s="136"/>
      <c r="C211" s="137"/>
      <c r="D211" s="122"/>
      <c r="E211" s="122"/>
      <c r="F211" s="122"/>
      <c r="G211" s="138"/>
      <c r="H211" s="122"/>
      <c r="I211" s="122"/>
      <c r="J211" s="139"/>
      <c r="K211" s="139"/>
      <c r="L211" s="140"/>
      <c r="M211" s="137"/>
      <c r="N211" s="135"/>
      <c r="O211" s="140"/>
      <c r="P211" s="135"/>
      <c r="Q211" s="139"/>
      <c r="R211" s="140"/>
      <c r="S211" s="137"/>
      <c r="T211" s="137"/>
      <c r="U211" s="61"/>
      <c r="V211" s="140"/>
      <c r="W211" s="141"/>
      <c r="X211" s="142"/>
      <c r="Y211" s="142"/>
      <c r="Z211" s="141"/>
      <c r="AA211" s="143"/>
      <c r="AB211" s="143"/>
      <c r="AC211" s="141"/>
      <c r="AD211" s="144"/>
      <c r="AE211" s="145"/>
      <c r="AF211" s="145"/>
      <c r="AG211" s="141"/>
      <c r="AH211" s="61"/>
      <c r="AI211" s="61"/>
      <c r="AJ211" s="61"/>
    </row>
  </sheetData>
  <mergeCells count="53">
    <mergeCell ref="T3:T4"/>
    <mergeCell ref="U3:U4"/>
    <mergeCell ref="U5:U6"/>
    <mergeCell ref="S11:S13"/>
    <mergeCell ref="T11:T13"/>
    <mergeCell ref="U11:U13"/>
    <mergeCell ref="S15:S17"/>
    <mergeCell ref="T15:T17"/>
    <mergeCell ref="U15:U17"/>
    <mergeCell ref="S22:S24"/>
    <mergeCell ref="T22:T24"/>
    <mergeCell ref="U22:U24"/>
    <mergeCell ref="S26:S28"/>
    <mergeCell ref="T26:T28"/>
    <mergeCell ref="U26:U28"/>
    <mergeCell ref="S30:S32"/>
    <mergeCell ref="T30:T32"/>
    <mergeCell ref="U30:U32"/>
    <mergeCell ref="S37:S39"/>
    <mergeCell ref="T37:T39"/>
    <mergeCell ref="U37:U39"/>
    <mergeCell ref="S41:S43"/>
    <mergeCell ref="T41:T43"/>
    <mergeCell ref="U41:U43"/>
    <mergeCell ref="S46:S48"/>
    <mergeCell ref="T46:T48"/>
    <mergeCell ref="U46:U48"/>
    <mergeCell ref="S52:S54"/>
    <mergeCell ref="T52:T54"/>
    <mergeCell ref="U52:U54"/>
    <mergeCell ref="V52:V54"/>
    <mergeCell ref="S57:S59"/>
    <mergeCell ref="T57:T59"/>
    <mergeCell ref="U57:U59"/>
    <mergeCell ref="S61:S63"/>
    <mergeCell ref="T61:T63"/>
    <mergeCell ref="U61:U63"/>
    <mergeCell ref="T68:T73"/>
    <mergeCell ref="T76:T80"/>
    <mergeCell ref="U76:U80"/>
    <mergeCell ref="U86:U96"/>
    <mergeCell ref="T114:T115"/>
    <mergeCell ref="U114:U115"/>
    <mergeCell ref="V114:V115"/>
    <mergeCell ref="V128:V129"/>
    <mergeCell ref="S143:S148"/>
    <mergeCell ref="T143:T148"/>
    <mergeCell ref="S150:S155"/>
    <mergeCell ref="T150:T155"/>
    <mergeCell ref="S160:S166"/>
    <mergeCell ref="S182:S188"/>
    <mergeCell ref="T182:T188"/>
    <mergeCell ref="V182:V18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79"/>
  <sheetViews>
    <sheetView workbookViewId="0"/>
  </sheetViews>
  <sheetFormatPr defaultRowHeight="15" x14ac:dyDescent="0.25"/>
  <cols>
    <col min="1" max="1" style="107" width="11.719285714285713" customWidth="1" bestFit="1"/>
    <col min="2" max="2" style="71" width="35.71928571428572" customWidth="1" bestFit="1"/>
    <col min="3" max="3" style="54" width="20.719285714285714" customWidth="1" bestFit="1"/>
    <col min="4" max="4" style="50" width="13.576428571428572" customWidth="1" bestFit="1"/>
    <col min="5" max="5" style="50" width="12.719285714285713" customWidth="1" bestFit="1"/>
  </cols>
  <sheetData>
    <row x14ac:dyDescent="0.25" r="1" customHeight="1" ht="15" customFormat="1" s="88">
      <c r="A1" s="89" t="s">
        <v>377</v>
      </c>
      <c r="B1" s="90" t="s">
        <v>3</v>
      </c>
      <c r="C1" s="91" t="s">
        <v>378</v>
      </c>
      <c r="D1" s="64"/>
      <c r="E1" s="64"/>
    </row>
    <row x14ac:dyDescent="0.25" r="2" customHeight="1" ht="15" customFormat="1" s="88">
      <c r="A2" s="92"/>
      <c r="B2" s="93"/>
      <c r="C2" s="94"/>
      <c r="D2" s="64"/>
      <c r="E2" s="64"/>
    </row>
    <row x14ac:dyDescent="0.25" r="3" customHeight="1" ht="15.75">
      <c r="A3" s="95">
        <v>10</v>
      </c>
      <c r="B3" s="96" t="s">
        <v>33</v>
      </c>
      <c r="C3" s="97">
        <f>C4</f>
      </c>
      <c r="D3" s="61"/>
      <c r="E3" s="61"/>
    </row>
    <row x14ac:dyDescent="0.25" r="4" customHeight="1" ht="15.75">
      <c r="A4" s="98">
        <v>15</v>
      </c>
      <c r="B4" s="99" t="s">
        <v>59</v>
      </c>
      <c r="C4" s="100">
        <v>5210451</v>
      </c>
      <c r="D4" s="61"/>
      <c r="E4" s="100"/>
    </row>
    <row x14ac:dyDescent="0.25" r="5" customHeight="1" ht="15.75">
      <c r="A5" s="95">
        <v>20</v>
      </c>
      <c r="B5" s="96" t="s">
        <v>64</v>
      </c>
      <c r="C5" s="97">
        <f>C6+C13+C45+C48+C52+C54</f>
      </c>
      <c r="D5" s="61"/>
      <c r="E5" s="61"/>
    </row>
    <row x14ac:dyDescent="0.25" r="6" customHeight="1" ht="15.75">
      <c r="A6" s="98">
        <v>21</v>
      </c>
      <c r="B6" s="99" t="s">
        <v>65</v>
      </c>
      <c r="C6" s="100">
        <f>C7+C8+C9+C10</f>
      </c>
      <c r="D6" s="61"/>
      <c r="E6" s="61"/>
    </row>
    <row x14ac:dyDescent="0.25" r="7" customHeight="1" ht="15.75">
      <c r="A7" s="98">
        <v>211</v>
      </c>
      <c r="B7" s="99" t="s">
        <v>379</v>
      </c>
      <c r="C7" s="100"/>
      <c r="D7" s="61"/>
      <c r="E7" s="61"/>
    </row>
    <row x14ac:dyDescent="0.25" r="8" customHeight="1" ht="15.75">
      <c r="A8" s="98">
        <v>212</v>
      </c>
      <c r="B8" s="99" t="s">
        <v>380</v>
      </c>
      <c r="C8" s="100">
        <v>2573469.872</v>
      </c>
      <c r="D8" s="61"/>
      <c r="E8" s="61"/>
    </row>
    <row x14ac:dyDescent="0.25" r="9" customHeight="1" ht="15.75">
      <c r="A9" s="98">
        <v>213</v>
      </c>
      <c r="B9" s="99" t="s">
        <v>381</v>
      </c>
      <c r="C9" s="100"/>
      <c r="D9" s="61"/>
      <c r="E9" s="61"/>
    </row>
    <row x14ac:dyDescent="0.25" r="10" customHeight="1" ht="15.75">
      <c r="A10" s="98">
        <v>214</v>
      </c>
      <c r="B10" s="99" t="s">
        <v>382</v>
      </c>
      <c r="C10" s="100">
        <f>SUM(C11:C11)</f>
      </c>
      <c r="D10" s="61"/>
      <c r="E10" s="61"/>
    </row>
    <row x14ac:dyDescent="0.25" r="11" customHeight="1" ht="15.75">
      <c r="A11" s="98">
        <v>214.7</v>
      </c>
      <c r="B11" s="99" t="s">
        <v>383</v>
      </c>
      <c r="C11" s="100">
        <v>225536.86</v>
      </c>
      <c r="D11" s="61"/>
      <c r="E11" s="66"/>
    </row>
    <row x14ac:dyDescent="0.25" r="12" customHeight="1" ht="15.75">
      <c r="A12" s="98">
        <v>217</v>
      </c>
      <c r="B12" s="99" t="s">
        <v>384</v>
      </c>
      <c r="C12" s="100"/>
      <c r="D12" s="61"/>
      <c r="E12" s="61"/>
    </row>
    <row x14ac:dyDescent="0.25" r="13" customHeight="1" ht="15.75">
      <c r="A13" s="98">
        <v>22</v>
      </c>
      <c r="B13" s="99" t="s">
        <v>385</v>
      </c>
      <c r="C13" s="100">
        <f>C14+C32+C41+C42+C43+C44</f>
      </c>
      <c r="D13" s="61"/>
      <c r="E13" s="61"/>
    </row>
    <row x14ac:dyDescent="0.25" r="14" customHeight="1" ht="15.75">
      <c r="A14" s="98">
        <v>221</v>
      </c>
      <c r="B14" s="99" t="s">
        <v>386</v>
      </c>
      <c r="C14" s="100">
        <f>C15+C19+C25</f>
      </c>
      <c r="D14" s="61"/>
      <c r="E14" s="61"/>
    </row>
    <row x14ac:dyDescent="0.25" r="15" customHeight="1" ht="15.75">
      <c r="A15" s="98">
        <v>221.1</v>
      </c>
      <c r="B15" s="99" t="s">
        <v>387</v>
      </c>
      <c r="C15" s="100">
        <f>C16+C17+C18</f>
      </c>
      <c r="D15" s="61"/>
      <c r="E15" s="61"/>
    </row>
    <row x14ac:dyDescent="0.25" r="16" customHeight="1" ht="15.75">
      <c r="A16" s="98">
        <v>221.11</v>
      </c>
      <c r="B16" s="99" t="s">
        <v>388</v>
      </c>
      <c r="C16" s="100">
        <v>762382.4</v>
      </c>
      <c r="D16" s="61"/>
      <c r="E16" s="61"/>
    </row>
    <row x14ac:dyDescent="0.25" r="17" customHeight="1" ht="15.75">
      <c r="A17" s="98">
        <v>221.12</v>
      </c>
      <c r="B17" s="99" t="s">
        <v>389</v>
      </c>
      <c r="C17" s="100">
        <v>1201688.6</v>
      </c>
      <c r="D17" s="61"/>
      <c r="E17" s="61"/>
    </row>
    <row x14ac:dyDescent="0.25" r="18" customHeight="1" ht="15.75">
      <c r="A18" s="98">
        <v>221.13</v>
      </c>
      <c r="B18" s="99" t="s">
        <v>390</v>
      </c>
      <c r="C18" s="100">
        <v>40781</v>
      </c>
      <c r="D18" s="61"/>
      <c r="E18" s="61"/>
    </row>
    <row x14ac:dyDescent="0.25" r="19" customHeight="1" ht="15.75">
      <c r="A19" s="98">
        <v>221.2</v>
      </c>
      <c r="B19" s="99" t="s">
        <v>391</v>
      </c>
      <c r="C19" s="100">
        <f>C20</f>
      </c>
      <c r="D19" s="61"/>
      <c r="E19" s="61"/>
    </row>
    <row x14ac:dyDescent="0.25" r="20" customHeight="1" ht="16.5">
      <c r="A20" s="98">
        <v>221.21</v>
      </c>
      <c r="B20" s="99" t="s">
        <v>392</v>
      </c>
      <c r="C20" s="100">
        <f>SUM(C21:C23)</f>
      </c>
      <c r="D20" s="61"/>
      <c r="E20" s="61"/>
    </row>
    <row x14ac:dyDescent="0.25" r="21" customHeight="1" ht="15.75">
      <c r="A21" s="101">
        <v>221.211</v>
      </c>
      <c r="B21" s="102" t="s">
        <v>393</v>
      </c>
      <c r="C21" s="100">
        <v>1391560</v>
      </c>
      <c r="D21" s="65"/>
      <c r="E21" s="61"/>
    </row>
    <row x14ac:dyDescent="0.25" r="22" customHeight="1" ht="15.75">
      <c r="A22" s="101">
        <v>221.212</v>
      </c>
      <c r="B22" s="102" t="s">
        <v>394</v>
      </c>
      <c r="C22" s="100">
        <v>322663</v>
      </c>
      <c r="D22" s="61"/>
      <c r="E22" s="61"/>
    </row>
    <row x14ac:dyDescent="0.25" r="23" customHeight="1" ht="15.75">
      <c r="A23" s="101">
        <v>221.213</v>
      </c>
      <c r="B23" s="102" t="s">
        <v>395</v>
      </c>
      <c r="C23" s="100">
        <v>400000</v>
      </c>
      <c r="D23" s="61"/>
      <c r="E23" s="61"/>
    </row>
    <row x14ac:dyDescent="0.25" r="24" customHeight="1" ht="15.75">
      <c r="A24" s="101">
        <v>221.214</v>
      </c>
      <c r="B24" s="102" t="s">
        <v>396</v>
      </c>
      <c r="C24" s="103"/>
      <c r="D24" s="61"/>
      <c r="E24" s="61"/>
    </row>
    <row x14ac:dyDescent="0.25" r="25" customHeight="1" ht="15.75">
      <c r="A25" s="98">
        <v>221.3</v>
      </c>
      <c r="B25" s="99" t="s">
        <v>397</v>
      </c>
      <c r="C25" s="100">
        <f>C26+C30+C31</f>
      </c>
      <c r="D25" s="61"/>
      <c r="E25" s="61"/>
    </row>
    <row x14ac:dyDescent="0.25" r="26" customHeight="1" ht="15.75">
      <c r="A26" s="98">
        <v>221.31</v>
      </c>
      <c r="B26" s="99" t="s">
        <v>317</v>
      </c>
      <c r="C26" s="100">
        <v>4170231</v>
      </c>
      <c r="D26" s="61"/>
      <c r="E26" s="61"/>
    </row>
    <row x14ac:dyDescent="0.25" r="27" customHeight="1" ht="15.75">
      <c r="A27" s="104">
        <v>221.311</v>
      </c>
      <c r="B27" s="99" t="s">
        <v>398</v>
      </c>
      <c r="C27" s="100">
        <v>3200000</v>
      </c>
      <c r="D27" s="61"/>
      <c r="E27" s="61"/>
    </row>
    <row x14ac:dyDescent="0.25" r="28" customHeight="1" ht="15.75">
      <c r="A28" s="104">
        <v>221.312</v>
      </c>
      <c r="B28" s="99" t="s">
        <v>399</v>
      </c>
      <c r="C28" s="100">
        <v>850000</v>
      </c>
      <c r="D28" s="61"/>
      <c r="E28" s="61"/>
    </row>
    <row x14ac:dyDescent="0.25" r="29" customHeight="1" ht="15.75">
      <c r="A29" s="104">
        <v>221.313</v>
      </c>
      <c r="B29" s="99" t="s">
        <v>400</v>
      </c>
      <c r="C29" s="100">
        <v>120231</v>
      </c>
      <c r="D29" s="61"/>
      <c r="E29" s="61"/>
    </row>
    <row x14ac:dyDescent="0.25" r="30" customHeight="1" ht="15.75">
      <c r="A30" s="98">
        <v>221.32</v>
      </c>
      <c r="B30" s="99" t="s">
        <v>401</v>
      </c>
      <c r="C30" s="100">
        <v>647990.6</v>
      </c>
      <c r="D30" s="61"/>
      <c r="E30" s="61"/>
    </row>
    <row x14ac:dyDescent="0.25" r="31" customHeight="1" ht="15.75">
      <c r="A31" s="98">
        <v>221.33</v>
      </c>
      <c r="B31" s="99" t="s">
        <v>402</v>
      </c>
      <c r="C31" s="100">
        <v>0</v>
      </c>
      <c r="D31" s="61"/>
      <c r="E31" s="61"/>
    </row>
    <row x14ac:dyDescent="0.25" r="32" customHeight="1" ht="15.75">
      <c r="A32" s="105">
        <v>222</v>
      </c>
      <c r="B32" s="99" t="s">
        <v>403</v>
      </c>
      <c r="C32" s="100">
        <f>C33+C34+C38+C39+C40</f>
      </c>
      <c r="D32" s="61"/>
      <c r="E32" s="61"/>
    </row>
    <row x14ac:dyDescent="0.25" r="33" customHeight="1" ht="15.75">
      <c r="A33" s="98">
        <v>222.1</v>
      </c>
      <c r="B33" s="99" t="s">
        <v>404</v>
      </c>
      <c r="C33" s="100">
        <v>0</v>
      </c>
      <c r="D33" s="61"/>
      <c r="E33" s="61"/>
    </row>
    <row x14ac:dyDescent="0.25" r="34" customHeight="1" ht="15.75">
      <c r="A34" s="98">
        <v>222.2</v>
      </c>
      <c r="B34" s="99" t="s">
        <v>405</v>
      </c>
      <c r="C34" s="100">
        <v>4890230.6</v>
      </c>
      <c r="D34" s="61"/>
      <c r="E34" s="61"/>
    </row>
    <row x14ac:dyDescent="0.25" r="35" customHeight="1" ht="15.75">
      <c r="A35" s="98">
        <v>222.21</v>
      </c>
      <c r="B35" s="99" t="s">
        <v>406</v>
      </c>
      <c r="C35" s="100">
        <v>1520786</v>
      </c>
      <c r="D35" s="61"/>
      <c r="E35" s="61"/>
    </row>
    <row x14ac:dyDescent="0.25" r="36" customHeight="1" ht="31.5">
      <c r="A36" s="98">
        <v>222.22</v>
      </c>
      <c r="B36" s="99" t="s">
        <v>407</v>
      </c>
      <c r="C36" s="100">
        <v>3341486</v>
      </c>
      <c r="D36" s="61"/>
      <c r="E36" s="61"/>
    </row>
    <row x14ac:dyDescent="0.25" r="37" customHeight="1" ht="31.5">
      <c r="A37" s="98">
        <v>222.23</v>
      </c>
      <c r="B37" s="99" t="s">
        <v>408</v>
      </c>
      <c r="C37" s="100">
        <v>27958.6</v>
      </c>
      <c r="D37" s="61"/>
      <c r="E37" s="61"/>
    </row>
    <row x14ac:dyDescent="0.25" r="38" customHeight="1" ht="15.75">
      <c r="A38" s="98">
        <v>222.3</v>
      </c>
      <c r="B38" s="99" t="s">
        <v>409</v>
      </c>
      <c r="C38" s="100">
        <v>0</v>
      </c>
      <c r="D38" s="61"/>
      <c r="E38" s="61"/>
    </row>
    <row x14ac:dyDescent="0.25" r="39" customHeight="1" ht="15.75">
      <c r="A39" s="98">
        <v>222.4</v>
      </c>
      <c r="B39" s="99" t="s">
        <v>410</v>
      </c>
      <c r="C39" s="100">
        <v>0</v>
      </c>
      <c r="D39" s="61"/>
      <c r="E39" s="61"/>
    </row>
    <row x14ac:dyDescent="0.25" r="40" customHeight="1" ht="15.75">
      <c r="A40" s="98">
        <v>222.5</v>
      </c>
      <c r="B40" s="99" t="s">
        <v>411</v>
      </c>
      <c r="C40" s="100">
        <v>1018720</v>
      </c>
      <c r="D40" s="61"/>
      <c r="E40" s="61"/>
    </row>
    <row x14ac:dyDescent="0.25" r="41" customHeight="1" ht="15.75">
      <c r="A41" s="105">
        <v>224</v>
      </c>
      <c r="B41" s="99" t="s">
        <v>412</v>
      </c>
      <c r="C41" s="100"/>
      <c r="D41" s="61"/>
      <c r="E41" s="61"/>
    </row>
    <row x14ac:dyDescent="0.25" r="42" customHeight="1" ht="15.75">
      <c r="A42" s="105">
        <v>226</v>
      </c>
      <c r="B42" s="99" t="s">
        <v>413</v>
      </c>
      <c r="C42" s="100">
        <v>456297</v>
      </c>
      <c r="D42" s="61"/>
      <c r="E42" s="61"/>
    </row>
    <row x14ac:dyDescent="0.25" r="43" customHeight="1" ht="15.75">
      <c r="A43" s="105">
        <v>227</v>
      </c>
      <c r="B43" s="99" t="s">
        <v>414</v>
      </c>
      <c r="C43" s="100">
        <v>2253208.37</v>
      </c>
      <c r="D43" s="61"/>
      <c r="E43" s="61"/>
    </row>
    <row x14ac:dyDescent="0.25" r="44" customHeight="1" ht="15.75">
      <c r="A44" s="105">
        <v>228</v>
      </c>
      <c r="B44" s="99" t="s">
        <v>415</v>
      </c>
      <c r="C44" s="100">
        <v>30960</v>
      </c>
      <c r="D44" s="61"/>
      <c r="E44" s="61"/>
    </row>
    <row x14ac:dyDescent="0.25" r="45" customHeight="1" ht="15.75">
      <c r="A45" s="98">
        <v>23</v>
      </c>
      <c r="B45" s="99" t="s">
        <v>416</v>
      </c>
      <c r="C45" s="100">
        <f>C46</f>
      </c>
      <c r="D45" s="61"/>
      <c r="E45" s="61"/>
    </row>
    <row x14ac:dyDescent="0.25" r="46" customHeight="1" ht="15.75">
      <c r="A46" s="98">
        <v>232</v>
      </c>
      <c r="B46" s="99" t="s">
        <v>417</v>
      </c>
      <c r="C46" s="100">
        <f>C47</f>
      </c>
      <c r="D46" s="61"/>
      <c r="E46" s="61"/>
    </row>
    <row x14ac:dyDescent="0.25" r="47" customHeight="1" ht="15.75">
      <c r="A47" s="98">
        <v>232.1</v>
      </c>
      <c r="B47" s="99" t="s">
        <v>418</v>
      </c>
      <c r="C47" s="100">
        <v>0</v>
      </c>
      <c r="D47" s="61"/>
      <c r="E47" s="61"/>
    </row>
    <row x14ac:dyDescent="0.25" r="48" customHeight="1" ht="15.75">
      <c r="A48" s="98">
        <v>24</v>
      </c>
      <c r="B48" s="99" t="s">
        <v>196</v>
      </c>
      <c r="C48" s="100">
        <f>C49+C50+C51</f>
      </c>
      <c r="D48" s="61"/>
      <c r="E48" s="61"/>
    </row>
    <row x14ac:dyDescent="0.25" r="49" customHeight="1" ht="15.75">
      <c r="A49" s="105">
        <v>244</v>
      </c>
      <c r="B49" s="99" t="s">
        <v>419</v>
      </c>
      <c r="C49" s="100">
        <v>1627.02</v>
      </c>
      <c r="D49" s="61"/>
      <c r="E49" s="61"/>
    </row>
    <row x14ac:dyDescent="0.25" r="50" customHeight="1" ht="15.75">
      <c r="A50" s="105">
        <v>245</v>
      </c>
      <c r="B50" s="99" t="s">
        <v>420</v>
      </c>
      <c r="C50" s="100">
        <v>0</v>
      </c>
      <c r="D50" s="61"/>
      <c r="E50" s="61"/>
    </row>
    <row x14ac:dyDescent="0.25" r="51" customHeight="1" ht="15.75">
      <c r="A51" s="105">
        <v>246</v>
      </c>
      <c r="B51" s="99" t="s">
        <v>421</v>
      </c>
      <c r="C51" s="100">
        <v>71788.6</v>
      </c>
      <c r="D51" s="61"/>
      <c r="E51" s="61"/>
    </row>
    <row x14ac:dyDescent="0.25" r="52" customHeight="1" ht="15.75">
      <c r="A52" s="98">
        <v>25</v>
      </c>
      <c r="B52" s="99" t="s">
        <v>422</v>
      </c>
      <c r="C52" s="100">
        <f>C53</f>
      </c>
      <c r="D52" s="61"/>
      <c r="E52" s="61"/>
    </row>
    <row x14ac:dyDescent="0.25" r="53" customHeight="1" ht="15.75">
      <c r="A53" s="105" t="s">
        <v>423</v>
      </c>
      <c r="B53" s="99" t="s">
        <v>424</v>
      </c>
      <c r="C53" s="100">
        <v>9836580.5</v>
      </c>
      <c r="D53" s="61"/>
      <c r="E53" s="61"/>
    </row>
    <row x14ac:dyDescent="0.25" r="54" customHeight="1" ht="15.75">
      <c r="A54" s="98">
        <v>26</v>
      </c>
      <c r="B54" s="99" t="s">
        <v>425</v>
      </c>
      <c r="C54" s="100"/>
      <c r="D54" s="61"/>
      <c r="E54" s="61"/>
    </row>
    <row x14ac:dyDescent="0.25" r="55" customHeight="1" ht="15.75">
      <c r="A55" s="95">
        <v>30</v>
      </c>
      <c r="B55" s="96" t="s">
        <v>220</v>
      </c>
      <c r="C55" s="97">
        <f>C56+C58+C62+C65+C68</f>
      </c>
      <c r="D55" s="61"/>
      <c r="E55" s="61"/>
    </row>
    <row x14ac:dyDescent="0.25" r="56" customHeight="1" ht="15.75">
      <c r="A56" s="98">
        <v>31</v>
      </c>
      <c r="B56" s="99" t="s">
        <v>426</v>
      </c>
      <c r="C56" s="100">
        <f>C57</f>
      </c>
      <c r="D56" s="61"/>
      <c r="E56" s="61"/>
    </row>
    <row x14ac:dyDescent="0.25" r="57" customHeight="1" ht="15.75">
      <c r="A57" s="98">
        <v>317</v>
      </c>
      <c r="B57" s="99" t="s">
        <v>427</v>
      </c>
      <c r="C57" s="100">
        <v>1333020.8</v>
      </c>
      <c r="D57" s="61"/>
      <c r="E57" s="61"/>
    </row>
    <row x14ac:dyDescent="0.25" r="58" customHeight="1" ht="15.75">
      <c r="A58" s="98">
        <v>33</v>
      </c>
      <c r="B58" s="99" t="s">
        <v>224</v>
      </c>
      <c r="C58" s="100">
        <f>C59</f>
      </c>
      <c r="D58" s="61"/>
      <c r="E58" s="61"/>
    </row>
    <row x14ac:dyDescent="0.25" r="59" customHeight="1" ht="15.75">
      <c r="A59" s="98">
        <v>331</v>
      </c>
      <c r="B59" s="99" t="s">
        <v>428</v>
      </c>
      <c r="C59" s="100">
        <f>C60+C61</f>
      </c>
      <c r="D59" s="61"/>
      <c r="E59" s="61"/>
    </row>
    <row x14ac:dyDescent="0.25" r="60" customHeight="1" ht="15.75">
      <c r="A60" s="98">
        <v>331.3</v>
      </c>
      <c r="B60" s="99" t="s">
        <v>429</v>
      </c>
      <c r="C60" s="100">
        <v>215000</v>
      </c>
      <c r="D60" s="61"/>
      <c r="E60" s="61"/>
    </row>
    <row x14ac:dyDescent="0.25" r="61" customHeight="1" ht="15.75">
      <c r="A61" s="98">
        <v>331.5</v>
      </c>
      <c r="B61" s="99" t="s">
        <v>430</v>
      </c>
      <c r="C61" s="100">
        <v>2192166.4</v>
      </c>
      <c r="D61" s="61"/>
      <c r="E61" s="61"/>
    </row>
    <row x14ac:dyDescent="0.25" r="62" customHeight="1" ht="15.75">
      <c r="A62" s="98">
        <v>34</v>
      </c>
      <c r="B62" s="99" t="s">
        <v>225</v>
      </c>
      <c r="C62" s="100">
        <f>C63+C64</f>
      </c>
      <c r="D62" s="61"/>
      <c r="E62" s="61"/>
    </row>
    <row x14ac:dyDescent="0.25" r="63" customHeight="1" ht="15.75">
      <c r="A63" s="98">
        <v>341</v>
      </c>
      <c r="B63" s="99" t="s">
        <v>431</v>
      </c>
      <c r="C63" s="100">
        <v>1635355.8</v>
      </c>
      <c r="D63" s="61"/>
      <c r="E63" s="61"/>
    </row>
    <row x14ac:dyDescent="0.25" r="64" customHeight="1" ht="15.75">
      <c r="A64" s="98">
        <v>345</v>
      </c>
      <c r="B64" s="99" t="s">
        <v>432</v>
      </c>
      <c r="C64" s="100">
        <v>29927</v>
      </c>
      <c r="D64" s="61"/>
      <c r="E64" s="61"/>
    </row>
    <row x14ac:dyDescent="0.25" r="65" customHeight="1" ht="15.75">
      <c r="A65" s="98">
        <v>35</v>
      </c>
      <c r="B65" s="99" t="s">
        <v>226</v>
      </c>
      <c r="C65" s="100">
        <f>C66+C67</f>
      </c>
      <c r="D65" s="61"/>
      <c r="E65" s="61"/>
    </row>
    <row x14ac:dyDescent="0.25" r="66" customHeight="1" ht="15.75">
      <c r="A66" s="98">
        <v>351</v>
      </c>
      <c r="B66" s="99" t="s">
        <v>433</v>
      </c>
      <c r="C66" s="100">
        <v>257261.4</v>
      </c>
      <c r="D66" s="61"/>
      <c r="E66" s="61"/>
    </row>
    <row x14ac:dyDescent="0.25" r="67" customHeight="1" ht="15.75">
      <c r="A67" s="98">
        <v>352</v>
      </c>
      <c r="B67" s="99" t="s">
        <v>434</v>
      </c>
      <c r="C67" s="100">
        <v>363052.187737832</v>
      </c>
      <c r="D67" s="61"/>
      <c r="E67" s="61"/>
    </row>
    <row x14ac:dyDescent="0.25" r="68" customHeight="1" ht="15.75">
      <c r="A68" s="98">
        <v>36</v>
      </c>
      <c r="B68" s="99" t="s">
        <v>227</v>
      </c>
      <c r="C68" s="100">
        <f>C69+C70</f>
      </c>
      <c r="D68" s="61"/>
      <c r="E68" s="61"/>
    </row>
    <row x14ac:dyDescent="0.25" r="69" customHeight="1" ht="15.75">
      <c r="A69" s="98">
        <v>361</v>
      </c>
      <c r="B69" s="99" t="s">
        <v>433</v>
      </c>
      <c r="C69" s="100"/>
      <c r="D69" s="61"/>
      <c r="E69" s="61"/>
    </row>
    <row x14ac:dyDescent="0.25" r="70" customHeight="1" ht="15.75">
      <c r="A70" s="98">
        <v>362</v>
      </c>
      <c r="B70" s="99" t="s">
        <v>434</v>
      </c>
      <c r="C70" s="100">
        <v>416958.936</v>
      </c>
      <c r="D70" s="61"/>
      <c r="E70" s="61"/>
    </row>
    <row x14ac:dyDescent="0.25" r="71" customHeight="1" ht="15.75">
      <c r="A71" s="95">
        <v>40</v>
      </c>
      <c r="B71" s="96" t="s">
        <v>435</v>
      </c>
      <c r="C71" s="97">
        <f>C72</f>
      </c>
      <c r="D71" s="61"/>
      <c r="E71" s="61"/>
    </row>
    <row x14ac:dyDescent="0.25" r="72" customHeight="1" ht="15.75">
      <c r="A72" s="98">
        <v>41</v>
      </c>
      <c r="B72" s="99" t="s">
        <v>436</v>
      </c>
      <c r="C72" s="100">
        <v>4169765</v>
      </c>
      <c r="D72" s="61"/>
      <c r="E72" s="61"/>
    </row>
    <row x14ac:dyDescent="0.25" r="73" customHeight="1" ht="15.75">
      <c r="A73" s="95">
        <v>50</v>
      </c>
      <c r="B73" s="96" t="s">
        <v>437</v>
      </c>
      <c r="C73" s="97">
        <f>C74</f>
      </c>
      <c r="D73" s="61"/>
      <c r="E73" s="61"/>
    </row>
    <row x14ac:dyDescent="0.25" r="74" customHeight="1" ht="15.75">
      <c r="A74" s="98">
        <v>54</v>
      </c>
      <c r="B74" s="99" t="s">
        <v>438</v>
      </c>
      <c r="C74" s="100">
        <v>16408781.6</v>
      </c>
      <c r="D74" s="61"/>
      <c r="E74" s="61"/>
    </row>
    <row x14ac:dyDescent="0.25" r="75" customHeight="1" ht="15.75">
      <c r="A75" s="95">
        <v>60</v>
      </c>
      <c r="B75" s="96" t="s">
        <v>232</v>
      </c>
      <c r="C75" s="97">
        <f>C76</f>
      </c>
      <c r="D75" s="61"/>
      <c r="E75" s="61"/>
    </row>
    <row x14ac:dyDescent="0.25" r="76" customHeight="1" ht="15.75">
      <c r="A76" s="98">
        <v>61</v>
      </c>
      <c r="B76" s="99" t="s">
        <v>439</v>
      </c>
      <c r="C76" s="100">
        <v>6160606</v>
      </c>
      <c r="D76" s="61"/>
      <c r="E76" s="61"/>
    </row>
    <row x14ac:dyDescent="0.25" r="77" customHeight="1" ht="15.75">
      <c r="A77" s="98">
        <v>70</v>
      </c>
      <c r="B77" s="99" t="s">
        <v>234</v>
      </c>
      <c r="C77" s="100">
        <f>C78</f>
      </c>
      <c r="D77" s="61"/>
      <c r="E77" s="61"/>
    </row>
    <row x14ac:dyDescent="0.25" r="78" customHeight="1" ht="15.75">
      <c r="A78" s="98">
        <v>71</v>
      </c>
      <c r="B78" s="99" t="s">
        <v>238</v>
      </c>
      <c r="C78" s="100">
        <v>2456659.2</v>
      </c>
      <c r="D78" s="61"/>
      <c r="E78" s="61"/>
    </row>
    <row x14ac:dyDescent="0.25" r="79" customHeight="1" ht="48">
      <c r="A79" s="106" t="s">
        <v>440</v>
      </c>
      <c r="B79" s="99" t="s">
        <v>440</v>
      </c>
      <c r="C79" s="100">
        <v>33779050.1382622</v>
      </c>
      <c r="D79" s="61"/>
      <c r="E79" s="61"/>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2"/>
  <sheetViews>
    <sheetView workbookViewId="0"/>
  </sheetViews>
  <sheetFormatPr defaultRowHeight="15" x14ac:dyDescent="0.25"/>
  <cols>
    <col min="1" max="1" style="50" width="19.005" customWidth="1" bestFit="1"/>
    <col min="2" max="2" style="57" width="16.433571428571426" customWidth="1" bestFit="1"/>
    <col min="3" max="3" style="50" width="22.433571428571426" customWidth="1" bestFit="1"/>
    <col min="4" max="4" style="50" width="32.43357142857143" customWidth="1" bestFit="1"/>
  </cols>
  <sheetData>
    <row x14ac:dyDescent="0.25" r="1" customHeight="1" ht="16.5">
      <c r="A1" s="75" t="s">
        <v>295</v>
      </c>
      <c r="B1" s="76" t="s">
        <v>270</v>
      </c>
      <c r="C1" s="77" t="s">
        <v>14</v>
      </c>
      <c r="D1" s="77" t="s">
        <v>296</v>
      </c>
    </row>
    <row x14ac:dyDescent="0.25" r="2" customHeight="1" ht="13.5">
      <c r="A2" s="78" t="s">
        <v>297</v>
      </c>
      <c r="B2" s="79"/>
      <c r="C2" s="78"/>
      <c r="D2" s="78"/>
    </row>
    <row x14ac:dyDescent="0.25" r="3" customHeight="1" ht="13.5">
      <c r="A3" s="80" t="s">
        <v>298</v>
      </c>
      <c r="B3" s="81">
        <v>83</v>
      </c>
      <c r="C3" s="82" t="s">
        <v>299</v>
      </c>
      <c r="D3" s="82" t="s">
        <v>300</v>
      </c>
    </row>
    <row x14ac:dyDescent="0.25" r="4" customHeight="1" ht="13.5">
      <c r="A4" s="80" t="s">
        <v>301</v>
      </c>
      <c r="B4" s="81">
        <v>20</v>
      </c>
      <c r="C4" s="82" t="s">
        <v>302</v>
      </c>
      <c r="D4" s="82"/>
    </row>
    <row x14ac:dyDescent="0.25" r="5" customHeight="1" ht="13.5">
      <c r="A5" s="80" t="s">
        <v>303</v>
      </c>
      <c r="B5" s="83">
        <v>5.5</v>
      </c>
      <c r="C5" s="82" t="s">
        <v>304</v>
      </c>
      <c r="D5" s="82" t="s">
        <v>300</v>
      </c>
    </row>
    <row x14ac:dyDescent="0.25" r="6" customHeight="1" ht="13.5">
      <c r="A6" s="80" t="s">
        <v>305</v>
      </c>
      <c r="B6" s="83">
        <v>16.5</v>
      </c>
      <c r="C6" s="82" t="s">
        <v>304</v>
      </c>
      <c r="D6" s="82" t="s">
        <v>300</v>
      </c>
    </row>
    <row x14ac:dyDescent="0.25" r="7" customHeight="1" ht="13.5">
      <c r="A7" s="78" t="s">
        <v>306</v>
      </c>
      <c r="B7" s="79"/>
      <c r="C7" s="78"/>
      <c r="D7" s="78"/>
    </row>
    <row x14ac:dyDescent="0.25" r="8" customHeight="1" ht="13.5">
      <c r="A8" s="80" t="s">
        <v>307</v>
      </c>
      <c r="B8" s="83">
        <v>145.3</v>
      </c>
      <c r="C8" s="82" t="s">
        <v>308</v>
      </c>
      <c r="D8" s="82" t="s">
        <v>309</v>
      </c>
    </row>
    <row x14ac:dyDescent="0.25" r="9" customHeight="1" ht="13.5">
      <c r="A9" s="80" t="s">
        <v>310</v>
      </c>
      <c r="B9" s="81">
        <v>30</v>
      </c>
      <c r="C9" s="82" t="s">
        <v>311</v>
      </c>
      <c r="D9" s="82" t="s">
        <v>312</v>
      </c>
    </row>
    <row x14ac:dyDescent="0.25" r="10" customHeight="1" ht="13.5">
      <c r="A10" s="80" t="s">
        <v>313</v>
      </c>
      <c r="B10" s="83">
        <v>19.75</v>
      </c>
      <c r="C10" s="82" t="s">
        <v>311</v>
      </c>
      <c r="D10" s="82" t="s">
        <v>314</v>
      </c>
    </row>
    <row x14ac:dyDescent="0.25" r="11" customHeight="1" ht="13.5">
      <c r="A11" s="80" t="s">
        <v>315</v>
      </c>
      <c r="B11" s="81">
        <v>36</v>
      </c>
      <c r="C11" s="82" t="s">
        <v>316</v>
      </c>
      <c r="D11" s="82" t="s">
        <v>300</v>
      </c>
    </row>
    <row x14ac:dyDescent="0.25" r="12" customHeight="1" ht="13.5">
      <c r="A12" s="78" t="s">
        <v>317</v>
      </c>
      <c r="B12" s="79"/>
      <c r="C12" s="78"/>
      <c r="D12" s="78"/>
    </row>
    <row x14ac:dyDescent="0.25" r="13" customHeight="1" ht="13.5">
      <c r="A13" s="80" t="s">
        <v>318</v>
      </c>
      <c r="B13" s="83" t="s">
        <v>319</v>
      </c>
      <c r="C13" s="82" t="s">
        <v>300</v>
      </c>
      <c r="D13" s="82" t="s">
        <v>320</v>
      </c>
    </row>
    <row x14ac:dyDescent="0.25" r="14" customHeight="1" ht="13.5">
      <c r="A14" s="80" t="s">
        <v>321</v>
      </c>
      <c r="B14" s="81">
        <v>124</v>
      </c>
      <c r="C14" s="82" t="s">
        <v>316</v>
      </c>
      <c r="D14" s="82" t="s">
        <v>322</v>
      </c>
    </row>
    <row x14ac:dyDescent="0.25" r="15" customHeight="1" ht="13.5">
      <c r="A15" s="80" t="s">
        <v>323</v>
      </c>
      <c r="B15" s="81">
        <v>1</v>
      </c>
      <c r="C15" s="82" t="s">
        <v>304</v>
      </c>
      <c r="D15" s="82" t="s">
        <v>300</v>
      </c>
    </row>
    <row x14ac:dyDescent="0.25" r="16" customHeight="1" ht="15.75">
      <c r="A16" s="80" t="s">
        <v>324</v>
      </c>
      <c r="B16" s="83">
        <v>818.4</v>
      </c>
      <c r="C16" s="82" t="s">
        <v>325</v>
      </c>
      <c r="D16" s="82" t="s">
        <v>300</v>
      </c>
    </row>
    <row x14ac:dyDescent="0.25" r="17" customHeight="1" ht="13.5">
      <c r="A17" s="80" t="s">
        <v>326</v>
      </c>
      <c r="B17" s="81">
        <v>318</v>
      </c>
      <c r="C17" s="82" t="s">
        <v>263</v>
      </c>
      <c r="D17" s="82"/>
    </row>
    <row x14ac:dyDescent="0.25" r="18" customHeight="1" ht="15.75">
      <c r="A18" s="80" t="s">
        <v>327</v>
      </c>
      <c r="B18" s="81">
        <v>570</v>
      </c>
      <c r="C18" s="82" t="s">
        <v>325</v>
      </c>
      <c r="D18" s="82" t="s">
        <v>300</v>
      </c>
    </row>
    <row x14ac:dyDescent="0.25" r="19" customHeight="1" ht="13.5">
      <c r="A19" s="80" t="s">
        <v>328</v>
      </c>
      <c r="B19" s="83">
        <v>0.019</v>
      </c>
      <c r="C19" s="82" t="s">
        <v>329</v>
      </c>
      <c r="D19" s="82" t="s">
        <v>300</v>
      </c>
    </row>
    <row x14ac:dyDescent="0.25" r="20" customHeight="1" ht="13.5">
      <c r="A20" s="78" t="s">
        <v>330</v>
      </c>
      <c r="B20" s="79"/>
      <c r="C20" s="78"/>
      <c r="D20" s="78"/>
    </row>
    <row x14ac:dyDescent="0.25" r="21" customHeight="1" ht="13.5">
      <c r="A21" s="80" t="s">
        <v>331</v>
      </c>
      <c r="B21" s="81">
        <v>4</v>
      </c>
      <c r="C21" s="82" t="s">
        <v>316</v>
      </c>
      <c r="D21" s="82" t="s">
        <v>300</v>
      </c>
    </row>
    <row x14ac:dyDescent="0.25" r="22" customHeight="1" ht="13.5">
      <c r="A22" s="80" t="s">
        <v>332</v>
      </c>
      <c r="B22" s="81">
        <v>1</v>
      </c>
      <c r="C22" s="82" t="s">
        <v>316</v>
      </c>
      <c r="D22" s="82" t="s">
        <v>300</v>
      </c>
    </row>
    <row x14ac:dyDescent="0.25" r="23" customHeight="1" ht="13.5">
      <c r="A23" s="80" t="s">
        <v>333</v>
      </c>
      <c r="B23" s="81">
        <v>124</v>
      </c>
      <c r="C23" s="82" t="s">
        <v>316</v>
      </c>
      <c r="D23" s="82" t="s">
        <v>334</v>
      </c>
    </row>
    <row x14ac:dyDescent="0.25" r="24" customHeight="1" ht="13.5">
      <c r="A24" s="80" t="s">
        <v>335</v>
      </c>
      <c r="B24" s="81">
        <v>1</v>
      </c>
      <c r="C24" s="82" t="s">
        <v>304</v>
      </c>
      <c r="D24" s="82" t="s">
        <v>300</v>
      </c>
    </row>
    <row x14ac:dyDescent="0.25" r="25" customHeight="1" ht="15.75">
      <c r="A25" s="80" t="s">
        <v>336</v>
      </c>
      <c r="B25" s="83">
        <v>880.8</v>
      </c>
      <c r="C25" s="82" t="s">
        <v>325</v>
      </c>
      <c r="D25" s="82" t="s">
        <v>337</v>
      </c>
    </row>
    <row x14ac:dyDescent="0.25" r="26" customHeight="1" ht="13.5">
      <c r="A26" s="80" t="s">
        <v>338</v>
      </c>
      <c r="B26" s="81">
        <v>309</v>
      </c>
      <c r="C26" s="82" t="s">
        <v>263</v>
      </c>
      <c r="D26" s="82" t="s">
        <v>300</v>
      </c>
    </row>
    <row x14ac:dyDescent="0.25" r="27" customHeight="1" ht="18">
      <c r="A27" s="80" t="s">
        <v>339</v>
      </c>
      <c r="B27" s="83">
        <v>49.2</v>
      </c>
      <c r="C27" s="82" t="s">
        <v>325</v>
      </c>
      <c r="D27" s="82" t="s">
        <v>340</v>
      </c>
    </row>
    <row x14ac:dyDescent="0.25" r="28" customHeight="1" ht="13.5">
      <c r="A28" s="80" t="s">
        <v>341</v>
      </c>
      <c r="B28" s="81">
        <v>14</v>
      </c>
      <c r="C28" s="82" t="s">
        <v>263</v>
      </c>
      <c r="D28" s="82" t="s">
        <v>300</v>
      </c>
    </row>
    <row x14ac:dyDescent="0.25" r="29" customHeight="1" ht="18">
      <c r="A29" s="80" t="s">
        <v>342</v>
      </c>
      <c r="B29" s="81">
        <v>14</v>
      </c>
      <c r="C29" s="82" t="s">
        <v>263</v>
      </c>
      <c r="D29" s="82" t="s">
        <v>340</v>
      </c>
    </row>
    <row x14ac:dyDescent="0.25" r="30" customHeight="1" ht="13.5">
      <c r="A30" s="78" t="s">
        <v>343</v>
      </c>
      <c r="B30" s="79"/>
      <c r="C30" s="78"/>
      <c r="D30" s="78"/>
    </row>
    <row x14ac:dyDescent="0.25" r="31" customHeight="1" ht="13.5">
      <c r="A31" s="80" t="s">
        <v>344</v>
      </c>
      <c r="B31" s="81">
        <v>5</v>
      </c>
      <c r="C31" s="82"/>
      <c r="D31" s="82" t="s">
        <v>300</v>
      </c>
    </row>
    <row x14ac:dyDescent="0.25" r="32" customHeight="1" ht="13.5">
      <c r="A32" s="80" t="s">
        <v>345</v>
      </c>
      <c r="B32" s="81">
        <v>2</v>
      </c>
      <c r="C32" s="82"/>
      <c r="D32" s="82" t="s">
        <v>300</v>
      </c>
    </row>
    <row x14ac:dyDescent="0.25" r="33" customHeight="1" ht="13.5">
      <c r="A33" s="80" t="s">
        <v>346</v>
      </c>
      <c r="B33" s="81">
        <v>9</v>
      </c>
      <c r="C33" s="82"/>
      <c r="D33" s="82" t="s">
        <v>300</v>
      </c>
    </row>
    <row x14ac:dyDescent="0.25" r="34" customHeight="1" ht="13.5">
      <c r="A34" s="80" t="s">
        <v>347</v>
      </c>
      <c r="B34" s="81">
        <v>213</v>
      </c>
      <c r="C34" s="82"/>
      <c r="D34" s="82" t="s">
        <v>300</v>
      </c>
    </row>
    <row x14ac:dyDescent="0.25" r="35" customHeight="1" ht="28.5">
      <c r="A35" s="84" t="s">
        <v>348</v>
      </c>
      <c r="B35" s="85">
        <v>48</v>
      </c>
      <c r="C35" s="86" t="s">
        <v>300</v>
      </c>
      <c r="D35" s="87" t="s">
        <v>349</v>
      </c>
    </row>
    <row x14ac:dyDescent="0.25" r="36" customHeight="1" ht="13.5">
      <c r="A36" s="84" t="s">
        <v>350</v>
      </c>
      <c r="B36" s="85">
        <v>277</v>
      </c>
      <c r="C36" s="86"/>
      <c r="D36" s="87"/>
    </row>
    <row x14ac:dyDescent="0.25" r="37" customHeight="1" ht="13.5">
      <c r="A37" s="78" t="s">
        <v>351</v>
      </c>
      <c r="B37" s="79"/>
      <c r="C37" s="78"/>
      <c r="D37" s="78"/>
    </row>
    <row x14ac:dyDescent="0.25" r="38" customHeight="1" ht="13.5">
      <c r="A38" s="80" t="s">
        <v>352</v>
      </c>
      <c r="B38" s="83">
        <v>54.2</v>
      </c>
      <c r="C38" s="82" t="s">
        <v>263</v>
      </c>
      <c r="D38" s="82" t="s">
        <v>353</v>
      </c>
    </row>
    <row x14ac:dyDescent="0.25" r="39" customHeight="1" ht="13.5">
      <c r="A39" s="80" t="s">
        <v>354</v>
      </c>
      <c r="B39" s="83">
        <v>56.3</v>
      </c>
      <c r="C39" s="82" t="s">
        <v>263</v>
      </c>
      <c r="D39" s="82" t="s">
        <v>355</v>
      </c>
    </row>
    <row x14ac:dyDescent="0.25" r="40" customHeight="1" ht="13.5">
      <c r="A40" s="80" t="s">
        <v>356</v>
      </c>
      <c r="B40" s="83">
        <v>39.7</v>
      </c>
      <c r="C40" s="82" t="s">
        <v>263</v>
      </c>
      <c r="D40" s="82" t="s">
        <v>357</v>
      </c>
    </row>
    <row x14ac:dyDescent="0.25" r="41" customHeight="1" ht="13.5">
      <c r="A41" s="80" t="s">
        <v>358</v>
      </c>
      <c r="B41" s="83">
        <v>95.3</v>
      </c>
      <c r="C41" s="82" t="s">
        <v>263</v>
      </c>
      <c r="D41" s="82" t="s">
        <v>359</v>
      </c>
    </row>
    <row x14ac:dyDescent="0.25" r="42" customHeight="1" ht="13.5">
      <c r="A42" s="80" t="s">
        <v>360</v>
      </c>
      <c r="B42" s="83">
        <v>2571.9</v>
      </c>
      <c r="C42" s="82" t="s">
        <v>263</v>
      </c>
      <c r="D42" s="82" t="s">
        <v>361</v>
      </c>
    </row>
    <row x14ac:dyDescent="0.25" r="43" customHeight="1" ht="13.5">
      <c r="A43" s="80" t="s">
        <v>362</v>
      </c>
      <c r="B43" s="83">
        <v>925.3</v>
      </c>
      <c r="C43" s="82" t="s">
        <v>263</v>
      </c>
      <c r="D43" s="82" t="s">
        <v>363</v>
      </c>
    </row>
    <row x14ac:dyDescent="0.25" r="44" customHeight="1" ht="13.5">
      <c r="A44" s="78" t="s">
        <v>364</v>
      </c>
      <c r="B44" s="79"/>
      <c r="C44" s="78"/>
      <c r="D44" s="78"/>
    </row>
    <row x14ac:dyDescent="0.25" r="45" customHeight="1" ht="13.5">
      <c r="A45" s="80" t="s">
        <v>365</v>
      </c>
      <c r="B45" s="83">
        <v>8.3</v>
      </c>
      <c r="C45" s="82" t="s">
        <v>329</v>
      </c>
      <c r="D45" s="82" t="s">
        <v>366</v>
      </c>
    </row>
    <row x14ac:dyDescent="0.25" r="46" customHeight="1" ht="13.5">
      <c r="A46" s="78" t="s">
        <v>367</v>
      </c>
      <c r="B46" s="79"/>
      <c r="C46" s="78"/>
      <c r="D46" s="78"/>
    </row>
    <row x14ac:dyDescent="0.25" r="47" customHeight="1" ht="13.5">
      <c r="A47" s="80" t="s">
        <v>368</v>
      </c>
      <c r="B47" s="81">
        <v>156</v>
      </c>
      <c r="C47" s="82" t="s">
        <v>263</v>
      </c>
      <c r="D47" s="82" t="s">
        <v>369</v>
      </c>
    </row>
    <row x14ac:dyDescent="0.25" r="48" customHeight="1" ht="13.5">
      <c r="A48" s="80" t="s">
        <v>370</v>
      </c>
      <c r="B48" s="81">
        <v>4</v>
      </c>
      <c r="C48" s="82" t="s">
        <v>316</v>
      </c>
      <c r="D48" s="82" t="s">
        <v>371</v>
      </c>
    </row>
    <row x14ac:dyDescent="0.25" r="49" customHeight="1" ht="13.5">
      <c r="A49" s="80" t="s">
        <v>372</v>
      </c>
      <c r="B49" s="83">
        <v>0.86</v>
      </c>
      <c r="C49" s="82" t="s">
        <v>329</v>
      </c>
      <c r="D49" s="82" t="s">
        <v>373</v>
      </c>
    </row>
    <row x14ac:dyDescent="0.25" r="50" customHeight="1" ht="13.5">
      <c r="A50" s="78" t="s">
        <v>374</v>
      </c>
      <c r="B50" s="79"/>
      <c r="C50" s="78"/>
      <c r="D50" s="78"/>
    </row>
    <row x14ac:dyDescent="0.25" r="51" customHeight="1" ht="13.5">
      <c r="A51" s="80" t="s">
        <v>375</v>
      </c>
      <c r="B51" s="83">
        <v>1.11</v>
      </c>
      <c r="C51" s="82" t="s">
        <v>329</v>
      </c>
      <c r="D51" s="82" t="s">
        <v>369</v>
      </c>
    </row>
    <row x14ac:dyDescent="0.25" r="52" customHeight="1" ht="13.5">
      <c r="A52" s="80" t="s">
        <v>376</v>
      </c>
      <c r="B52" s="83">
        <v>1.587</v>
      </c>
      <c r="C52" s="82" t="s">
        <v>329</v>
      </c>
      <c r="D52" s="82" t="s">
        <v>369</v>
      </c>
    </row>
  </sheetData>
  <mergeCells count="9">
    <mergeCell ref="A2:D2"/>
    <mergeCell ref="A7:D7"/>
    <mergeCell ref="A12:D12"/>
    <mergeCell ref="A20:D20"/>
    <mergeCell ref="A30:D30"/>
    <mergeCell ref="A37:D37"/>
    <mergeCell ref="A44:D44"/>
    <mergeCell ref="A46:D46"/>
    <mergeCell ref="A50:D5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3"/>
  <sheetViews>
    <sheetView workbookViewId="0"/>
  </sheetViews>
  <sheetFormatPr defaultRowHeight="15" x14ac:dyDescent="0.25"/>
  <cols>
    <col min="1" max="1" style="54" width="13.576428571428572" customWidth="1" bestFit="1"/>
    <col min="2" max="2" style="74" width="15.005" customWidth="1" bestFit="1"/>
    <col min="3" max="3" style="74" width="13.576428571428572" customWidth="1" bestFit="1"/>
    <col min="4" max="4" style="74" width="13.576428571428572" customWidth="1" bestFit="1"/>
    <col min="5" max="5" style="74" width="10.005" customWidth="1" bestFit="1"/>
    <col min="6" max="6" style="74" width="17.14785714285714" customWidth="1" bestFit="1"/>
    <col min="7" max="7" style="74" width="12.43357142857143" customWidth="1" bestFit="1"/>
    <col min="8" max="8" style="50" width="13.576428571428572" customWidth="1" bestFit="1"/>
    <col min="9" max="9" style="50" width="13.576428571428572" customWidth="1" bestFit="1"/>
    <col min="10" max="10" style="50" width="13.576428571428572" customWidth="1" bestFit="1"/>
    <col min="11" max="11" style="50" width="13.576428571428572" customWidth="1" bestFit="1"/>
    <col min="12" max="12" style="50" width="13.576428571428572" customWidth="1" bestFit="1"/>
    <col min="13" max="13" style="50" width="13.576428571428572" customWidth="1" bestFit="1"/>
  </cols>
  <sheetData>
    <row x14ac:dyDescent="0.25" r="1" customHeight="1" ht="15">
      <c r="A1" s="72" t="s">
        <v>293</v>
      </c>
      <c r="B1" s="73" t="s">
        <v>40</v>
      </c>
      <c r="C1" s="73" t="s">
        <v>51</v>
      </c>
      <c r="D1" s="73" t="s">
        <v>294</v>
      </c>
      <c r="E1" s="73" t="s">
        <v>253</v>
      </c>
      <c r="F1" s="73" t="s">
        <v>86</v>
      </c>
      <c r="G1" s="73" t="s">
        <v>68</v>
      </c>
      <c r="H1" s="61"/>
      <c r="I1" s="61"/>
      <c r="J1" s="61"/>
      <c r="K1" s="61"/>
      <c r="L1" s="61"/>
      <c r="M1" s="61"/>
    </row>
    <row x14ac:dyDescent="0.25" r="2" customHeight="1" ht="15">
      <c r="A2" s="65">
        <v>1978</v>
      </c>
      <c r="B2" s="62">
        <v>3.1209</v>
      </c>
      <c r="C2" s="62">
        <v>4.2536</v>
      </c>
      <c r="D2" s="62">
        <v>3.811</v>
      </c>
      <c r="E2" s="62">
        <v>5.3954</v>
      </c>
      <c r="F2" s="62">
        <f>(C2+D2+E2)/3</f>
      </c>
      <c r="G2" s="62">
        <f>AVERAGE(C2,E2)</f>
      </c>
      <c r="H2" s="61"/>
      <c r="I2" s="61"/>
      <c r="J2" s="62"/>
      <c r="K2" s="62"/>
      <c r="L2" s="62"/>
      <c r="M2" s="62"/>
    </row>
    <row x14ac:dyDescent="0.25" r="3" customHeight="1" ht="15">
      <c r="A3" s="65">
        <v>1985</v>
      </c>
      <c r="B3" s="62">
        <v>2.53800998598027</v>
      </c>
      <c r="C3" s="62">
        <v>3.31228628230616</v>
      </c>
      <c r="D3" s="62">
        <v>3.14612610211513</v>
      </c>
      <c r="E3" s="62">
        <v>4.06039685435672</v>
      </c>
      <c r="F3" s="62">
        <f>(C3+D3+E3)/3</f>
      </c>
      <c r="G3" s="62">
        <f>AVERAGE(C3,E3)</f>
      </c>
      <c r="H3" s="61"/>
      <c r="I3" s="61"/>
      <c r="J3" s="62"/>
      <c r="K3" s="62"/>
      <c r="L3" s="62"/>
      <c r="M3" s="62"/>
    </row>
    <row x14ac:dyDescent="0.25" r="4" customHeight="1" ht="15">
      <c r="A4" s="65">
        <v>1986</v>
      </c>
      <c r="B4" s="62">
        <v>2.48779755820009</v>
      </c>
      <c r="C4" s="62">
        <v>3.20862782859894</v>
      </c>
      <c r="D4" s="62">
        <v>3.15247648474497</v>
      </c>
      <c r="E4" s="62">
        <v>3.95708203556101</v>
      </c>
      <c r="F4" s="62">
        <f>(C4+D4+E4)/3</f>
      </c>
      <c r="G4" s="62">
        <f>AVERAGE(C4,E4)</f>
      </c>
      <c r="H4" s="61"/>
      <c r="I4" s="61"/>
      <c r="J4" s="62"/>
      <c r="K4" s="62"/>
      <c r="L4" s="62"/>
      <c r="M4" s="62"/>
    </row>
    <row x14ac:dyDescent="0.25" r="5" customHeight="1" ht="15">
      <c r="A5" s="65">
        <v>1987</v>
      </c>
      <c r="B5" s="62">
        <v>2.42782425380333</v>
      </c>
      <c r="C5" s="62">
        <v>3.11126050420168</v>
      </c>
      <c r="D5" s="62">
        <v>3.0891631494865</v>
      </c>
      <c r="E5" s="62">
        <v>3.92102114216282</v>
      </c>
      <c r="F5" s="62">
        <f>(C5+D5+E5)/3</f>
      </c>
      <c r="G5" s="62">
        <f>AVERAGE(C5,E5)</f>
      </c>
      <c r="H5" s="61"/>
      <c r="I5" s="61"/>
      <c r="J5" s="62"/>
      <c r="K5" s="62"/>
      <c r="L5" s="62"/>
      <c r="M5" s="62"/>
    </row>
    <row x14ac:dyDescent="0.25" r="6" customHeight="1" ht="15">
      <c r="A6" s="65">
        <v>1988</v>
      </c>
      <c r="B6" s="62">
        <v>2.34514692981459</v>
      </c>
      <c r="C6" s="62">
        <v>2.98982503364738</v>
      </c>
      <c r="D6" s="62">
        <v>2.92579073420275</v>
      </c>
      <c r="E6" s="62">
        <v>3.73603519536903</v>
      </c>
      <c r="F6" s="62">
        <f>(C6+D6+E6)/3</f>
      </c>
      <c r="G6" s="62">
        <f>AVERAGE(C6,E6)</f>
      </c>
      <c r="H6" s="61"/>
      <c r="I6" s="61"/>
      <c r="J6" s="62"/>
      <c r="K6" s="62"/>
      <c r="L6" s="62"/>
      <c r="M6" s="62"/>
    </row>
    <row x14ac:dyDescent="0.25" r="7" customHeight="1" ht="15">
      <c r="A7" s="65">
        <v>1989</v>
      </c>
      <c r="B7" s="62">
        <v>2.25651825545389</v>
      </c>
      <c r="C7" s="62">
        <v>2.8925</v>
      </c>
      <c r="D7" s="62">
        <v>2.83232542372881</v>
      </c>
      <c r="E7" s="62">
        <v>3.51142589771491</v>
      </c>
      <c r="F7" s="62">
        <f>(C7+D7+E7)/3</f>
      </c>
      <c r="G7" s="62">
        <f>AVERAGE(C7,E7)</f>
      </c>
      <c r="H7" s="61"/>
      <c r="I7" s="61"/>
      <c r="J7" s="62"/>
      <c r="K7" s="62"/>
      <c r="L7" s="62"/>
      <c r="M7" s="62"/>
    </row>
    <row x14ac:dyDescent="0.25" r="8" customHeight="1" ht="15">
      <c r="A8" s="65">
        <v>1990</v>
      </c>
      <c r="B8" s="62">
        <v>2.17493122447001</v>
      </c>
      <c r="C8" s="62">
        <v>2.76527800829876</v>
      </c>
      <c r="D8" s="62">
        <v>2.82897099066462</v>
      </c>
      <c r="E8" s="62">
        <v>3.41752756155679</v>
      </c>
      <c r="F8" s="62">
        <f>(C8+D8+E8)/3</f>
      </c>
      <c r="G8" s="62">
        <f>AVERAGE(C8,E8)</f>
      </c>
      <c r="H8" s="61"/>
      <c r="I8" s="61"/>
      <c r="J8" s="62"/>
      <c r="K8" s="62"/>
      <c r="L8" s="62"/>
      <c r="M8" s="62"/>
    </row>
    <row x14ac:dyDescent="0.25" r="9" customHeight="1" ht="15">
      <c r="A9" s="65">
        <v>1991</v>
      </c>
      <c r="B9" s="62">
        <v>2.10391700784576</v>
      </c>
      <c r="C9" s="62">
        <v>2.65616580310881</v>
      </c>
      <c r="D9" s="62">
        <v>2.81095456181642</v>
      </c>
      <c r="E9" s="62">
        <v>3.30529456500864</v>
      </c>
      <c r="F9" s="62">
        <f>(C9+D9+E9)/3</f>
      </c>
      <c r="G9" s="62">
        <f>AVERAGE(C9,E9)</f>
      </c>
      <c r="H9" s="61"/>
      <c r="I9" s="61"/>
      <c r="J9" s="62"/>
      <c r="K9" s="62"/>
      <c r="L9" s="62"/>
      <c r="M9" s="62"/>
    </row>
    <row x14ac:dyDescent="0.25" r="10" customHeight="1" ht="15">
      <c r="A10" s="65">
        <v>1992</v>
      </c>
      <c r="B10" s="62">
        <v>2.05709246042821</v>
      </c>
      <c r="C10" s="62">
        <v>2.57409038238702</v>
      </c>
      <c r="D10" s="62">
        <v>2.76219642201211</v>
      </c>
      <c r="E10" s="62">
        <v>3.16935770670923</v>
      </c>
      <c r="F10" s="62">
        <f>(C10+D10+E10)/3</f>
      </c>
      <c r="G10" s="62">
        <f>AVERAGE(C10,E10)</f>
      </c>
      <c r="H10" s="61"/>
      <c r="I10" s="61"/>
      <c r="J10" s="62"/>
      <c r="K10" s="62"/>
      <c r="L10" s="62"/>
      <c r="M10" s="62"/>
    </row>
    <row x14ac:dyDescent="0.25" r="11" customHeight="1" ht="15">
      <c r="A11" s="65">
        <v>1993</v>
      </c>
      <c r="B11" s="62">
        <v>2.00942265150335</v>
      </c>
      <c r="C11" s="62">
        <v>2.49226626776365</v>
      </c>
      <c r="D11" s="62">
        <v>2.63135365474339</v>
      </c>
      <c r="E11" s="62">
        <v>2.99350686456401</v>
      </c>
      <c r="F11" s="62">
        <f>(C11+D11+E11)/3</f>
      </c>
      <c r="G11" s="62">
        <f>AVERAGE(C11,E11)</f>
      </c>
      <c r="H11" s="61"/>
      <c r="I11" s="61"/>
      <c r="J11" s="62"/>
      <c r="K11" s="62"/>
      <c r="L11" s="62"/>
      <c r="M11" s="62"/>
    </row>
    <row x14ac:dyDescent="0.25" r="12" customHeight="1" ht="15">
      <c r="A12" s="65">
        <v>1994</v>
      </c>
      <c r="B12" s="62">
        <v>1.96743197071385</v>
      </c>
      <c r="C12" s="62">
        <v>2.40328885683375</v>
      </c>
      <c r="D12" s="62">
        <v>2.52814404183788</v>
      </c>
      <c r="E12" s="62">
        <v>2.90622573454914</v>
      </c>
      <c r="F12" s="62">
        <f>(C12+D12+E12)/3</f>
      </c>
      <c r="G12" s="62">
        <f>AVERAGE(C12,E12)</f>
      </c>
      <c r="H12" s="61"/>
      <c r="I12" s="61"/>
      <c r="J12" s="62"/>
      <c r="K12" s="62"/>
      <c r="L12" s="62"/>
      <c r="M12" s="62"/>
    </row>
    <row x14ac:dyDescent="0.25" r="13" customHeight="1" ht="15">
      <c r="A13" s="65">
        <v>1995</v>
      </c>
      <c r="B13" s="62">
        <v>1.92697317606986</v>
      </c>
      <c r="C13" s="62">
        <v>2.36155917788802</v>
      </c>
      <c r="D13" s="62">
        <v>2.43725164155813</v>
      </c>
      <c r="E13" s="62">
        <v>2.85654253941909</v>
      </c>
      <c r="F13" s="62">
        <f>(C13+D13+E13)/3</f>
      </c>
      <c r="G13" s="62">
        <f>AVERAGE(C13,E13)</f>
      </c>
      <c r="H13" s="61"/>
      <c r="I13" s="61"/>
      <c r="J13" s="62"/>
      <c r="K13" s="62"/>
      <c r="L13" s="62"/>
      <c r="M13" s="62"/>
    </row>
    <row x14ac:dyDescent="0.25" r="14" customHeight="1" ht="15">
      <c r="A14" s="65">
        <v>1996</v>
      </c>
      <c r="B14" s="62">
        <v>1.89237627502833</v>
      </c>
      <c r="C14" s="62">
        <v>2.3036017974421</v>
      </c>
      <c r="D14" s="62">
        <v>2.42343337312008</v>
      </c>
      <c r="E14" s="62">
        <v>2.79575516569201</v>
      </c>
      <c r="F14" s="62">
        <f>(C14+D14+E14)/3</f>
      </c>
      <c r="G14" s="62">
        <f>AVERAGE(C14,E14)</f>
      </c>
      <c r="H14" s="61"/>
      <c r="I14" s="61"/>
      <c r="J14" s="62"/>
      <c r="K14" s="62"/>
      <c r="L14" s="62"/>
      <c r="M14" s="62"/>
    </row>
    <row x14ac:dyDescent="0.25" r="15" customHeight="1" ht="15">
      <c r="A15" s="65">
        <v>1997</v>
      </c>
      <c r="B15" s="62">
        <v>1.86027330482502</v>
      </c>
      <c r="C15" s="62">
        <v>2.24463455708993</v>
      </c>
      <c r="D15" s="62">
        <v>2.38178483195495</v>
      </c>
      <c r="E15" s="62">
        <v>2.7305519276535</v>
      </c>
      <c r="F15" s="62">
        <f>(C15+D15+E15)/3</f>
      </c>
      <c r="G15" s="62">
        <f>AVERAGE(C15,E15)</f>
      </c>
      <c r="H15" s="61"/>
      <c r="I15" s="61"/>
      <c r="J15" s="62"/>
      <c r="K15" s="62"/>
      <c r="L15" s="62"/>
      <c r="M15" s="62"/>
    </row>
    <row x14ac:dyDescent="0.25" r="16" customHeight="1" ht="15">
      <c r="A16" s="65">
        <v>1998</v>
      </c>
      <c r="B16" s="62">
        <v>1.8396117820303</v>
      </c>
      <c r="C16" s="62">
        <v>2.17717085919634</v>
      </c>
      <c r="D16" s="62">
        <v>2.39343685017093</v>
      </c>
      <c r="E16" s="62">
        <v>2.67191090871455</v>
      </c>
      <c r="F16" s="62">
        <f>(C16+D16+E16)/3</f>
      </c>
      <c r="G16" s="62">
        <f>AVERAGE(C16,E16)</f>
      </c>
      <c r="H16" s="61"/>
      <c r="I16" s="61"/>
      <c r="J16" s="62"/>
      <c r="K16" s="62"/>
      <c r="L16" s="62"/>
      <c r="M16" s="62"/>
    </row>
    <row x14ac:dyDescent="0.25" r="17" customHeight="1" ht="15">
      <c r="A17" s="65">
        <v>1999</v>
      </c>
      <c r="B17" s="62">
        <v>1.81396693691857</v>
      </c>
      <c r="C17" s="62">
        <v>2.10496525584334</v>
      </c>
      <c r="D17" s="62">
        <v>2.37038407565233</v>
      </c>
      <c r="E17" s="62">
        <v>2.65501138478943</v>
      </c>
      <c r="F17" s="62">
        <f>(C17+D17+E17)/3</f>
      </c>
      <c r="G17" s="62">
        <f>AVERAGE(C17,E17)</f>
      </c>
      <c r="H17" s="61"/>
      <c r="I17" s="61"/>
      <c r="J17" s="62"/>
      <c r="K17" s="62"/>
      <c r="L17" s="62"/>
      <c r="M17" s="62"/>
    </row>
    <row x14ac:dyDescent="0.25" r="18" customHeight="1" ht="15">
      <c r="A18" s="65">
        <v>2000</v>
      </c>
      <c r="B18" s="62">
        <v>1.77376770538244</v>
      </c>
      <c r="C18" s="62">
        <v>2.00732530120482</v>
      </c>
      <c r="D18" s="62">
        <v>2.34763540498352</v>
      </c>
      <c r="E18" s="62">
        <v>2.62691459679471</v>
      </c>
      <c r="F18" s="62">
        <f>(C18+D18+E18)/3</f>
      </c>
      <c r="G18" s="62">
        <f>AVERAGE(C18,E18)</f>
      </c>
      <c r="H18" s="61"/>
      <c r="I18" s="61"/>
      <c r="J18" s="62"/>
      <c r="K18" s="62"/>
      <c r="L18" s="62"/>
      <c r="M18" s="62"/>
    </row>
    <row x14ac:dyDescent="0.25" r="19" customHeight="1" ht="15">
      <c r="A19" s="65">
        <v>2001</v>
      </c>
      <c r="B19" s="62">
        <v>1.73461144843631</v>
      </c>
      <c r="C19" s="62">
        <v>1.91723820483314</v>
      </c>
      <c r="D19" s="62">
        <v>2.36969243697479</v>
      </c>
      <c r="E19" s="62">
        <v>2.54332330427073</v>
      </c>
      <c r="F19" s="62">
        <f>(C19+D19+E19)/3</f>
      </c>
      <c r="G19" s="62">
        <f>AVERAGE(C19,E19)</f>
      </c>
      <c r="H19" s="61"/>
      <c r="I19" s="61"/>
      <c r="J19" s="62"/>
      <c r="K19" s="62"/>
      <c r="L19" s="62"/>
      <c r="M19" s="62"/>
    </row>
    <row x14ac:dyDescent="0.25" r="20" customHeight="1" ht="15">
      <c r="A20" s="65">
        <v>2002</v>
      </c>
      <c r="B20" s="62">
        <v>1.70809739948023</v>
      </c>
      <c r="C20" s="62">
        <v>1.85429048414024</v>
      </c>
      <c r="D20" s="62">
        <v>2.34980901568196</v>
      </c>
      <c r="E20" s="62">
        <v>2.5197406861549</v>
      </c>
      <c r="F20" s="62">
        <f>(C20+D20+E20)/3</f>
      </c>
      <c r="G20" s="62">
        <f>AVERAGE(C20,E20)</f>
      </c>
      <c r="H20" s="61"/>
      <c r="I20" s="61"/>
      <c r="J20" s="62"/>
      <c r="K20" s="62"/>
      <c r="L20" s="62"/>
      <c r="M20" s="62"/>
    </row>
    <row x14ac:dyDescent="0.25" r="21" customHeight="1" ht="15">
      <c r="A21" s="65">
        <v>2003</v>
      </c>
      <c r="B21" s="62">
        <v>1.67513323095205</v>
      </c>
      <c r="C21" s="62">
        <v>1.79052122514777</v>
      </c>
      <c r="D21" s="62">
        <v>2.30029171245681</v>
      </c>
      <c r="E21" s="62">
        <v>2.4774246149417</v>
      </c>
      <c r="F21" s="62">
        <f>(C21+D21+E21)/3</f>
      </c>
      <c r="G21" s="62">
        <f>AVERAGE(C21,E21)</f>
      </c>
      <c r="H21" s="61"/>
      <c r="I21" s="61"/>
      <c r="J21" s="62"/>
      <c r="K21" s="62"/>
      <c r="L21" s="62"/>
      <c r="M21" s="62"/>
    </row>
    <row x14ac:dyDescent="0.25" r="22" customHeight="1" ht="15">
      <c r="A22" s="65">
        <v>2004</v>
      </c>
      <c r="B22" s="62">
        <v>1.63127406095864</v>
      </c>
      <c r="C22" s="62">
        <v>1.73912317327766</v>
      </c>
      <c r="D22" s="62">
        <v>2.09563139804923</v>
      </c>
      <c r="E22" s="62">
        <v>2.38584198512084</v>
      </c>
      <c r="F22" s="62">
        <f>(C22+D22+E22)/3</f>
      </c>
      <c r="G22" s="62">
        <f>AVERAGE(C22,E22)</f>
      </c>
      <c r="H22" s="61"/>
      <c r="I22" s="61"/>
      <c r="J22" s="62"/>
      <c r="K22" s="62"/>
      <c r="L22" s="62"/>
      <c r="M22" s="62"/>
    </row>
    <row x14ac:dyDescent="0.25" r="23" customHeight="1" ht="15">
      <c r="A23" s="65">
        <v>2005</v>
      </c>
      <c r="B23" s="62">
        <v>1.58164148311645</v>
      </c>
      <c r="C23" s="62">
        <v>1.68333417529679</v>
      </c>
      <c r="D23" s="62">
        <v>1.9957266230894</v>
      </c>
      <c r="E23" s="62">
        <v>2.29281968115813</v>
      </c>
      <c r="F23" s="62">
        <f>(C23+D23+E23)/3</f>
      </c>
      <c r="G23" s="62">
        <f>AVERAGE(C23,E23)</f>
      </c>
      <c r="H23" s="61"/>
      <c r="I23" s="61"/>
      <c r="J23" s="62"/>
      <c r="K23" s="62"/>
      <c r="L23" s="62"/>
      <c r="M23" s="62"/>
    </row>
    <row x14ac:dyDescent="0.25" r="24" customHeight="1" ht="15">
      <c r="A24" s="65">
        <v>2006</v>
      </c>
      <c r="B24" s="62">
        <v>1.5342735134235</v>
      </c>
      <c r="C24" s="62">
        <v>1.62862170087977</v>
      </c>
      <c r="D24" s="62">
        <v>1.87743536918027</v>
      </c>
      <c r="E24" s="62">
        <v>2.1163260400869</v>
      </c>
      <c r="F24" s="62">
        <f>(C24+D24+E24)/3</f>
      </c>
      <c r="G24" s="62">
        <f>AVERAGE(C24,E24)</f>
      </c>
      <c r="H24" s="61"/>
      <c r="I24" s="61"/>
      <c r="J24" s="62"/>
      <c r="K24" s="62"/>
      <c r="L24" s="62"/>
      <c r="M24" s="62"/>
    </row>
    <row x14ac:dyDescent="0.25" r="25" customHeight="1" ht="15">
      <c r="A25" s="65">
        <v>2007</v>
      </c>
      <c r="B25" s="62">
        <v>1.49382237638325</v>
      </c>
      <c r="C25" s="62">
        <v>1.56733772342427</v>
      </c>
      <c r="D25" s="62">
        <v>1.84737043810564</v>
      </c>
      <c r="E25" s="62">
        <v>1.94265958311385</v>
      </c>
      <c r="F25" s="62">
        <f>(C25+D25+E25)/3</f>
      </c>
      <c r="G25" s="62">
        <f>AVERAGE(C25,E25)</f>
      </c>
      <c r="H25" s="61"/>
      <c r="I25" s="61"/>
      <c r="J25" s="62"/>
      <c r="K25" s="62"/>
      <c r="L25" s="62"/>
      <c r="M25" s="62"/>
    </row>
    <row x14ac:dyDescent="0.25" r="26" customHeight="1" ht="15">
      <c r="A26" s="65">
        <v>2008</v>
      </c>
      <c r="B26" s="62">
        <v>1.46546620652436</v>
      </c>
      <c r="C26" s="62">
        <v>1.51324250681199</v>
      </c>
      <c r="D26" s="62">
        <v>1.72260847579858</v>
      </c>
      <c r="E26" s="62">
        <v>1.89461347424042</v>
      </c>
      <c r="F26" s="62">
        <f>(C26+D26+E26)/3</f>
      </c>
      <c r="G26" s="62">
        <f>AVERAGE(C26,E26)</f>
      </c>
      <c r="H26" s="61"/>
      <c r="I26" s="61"/>
      <c r="J26" s="62"/>
      <c r="K26" s="62"/>
      <c r="L26" s="62"/>
      <c r="M26" s="62"/>
    </row>
    <row x14ac:dyDescent="0.25" r="27" customHeight="1" ht="15">
      <c r="A27" s="65">
        <v>2009</v>
      </c>
      <c r="B27" s="62">
        <v>1.45654650627715</v>
      </c>
      <c r="C27" s="62">
        <v>1.49692722371968</v>
      </c>
      <c r="D27" s="62">
        <v>1.78877800977931</v>
      </c>
      <c r="E27" s="62">
        <v>1.8701827875978</v>
      </c>
      <c r="F27" s="62">
        <f>(C27+D27+E27)/3</f>
      </c>
      <c r="G27" s="62">
        <f>AVERAGE(C27,E27)</f>
      </c>
      <c r="H27" s="61"/>
      <c r="I27" s="61"/>
      <c r="J27" s="62"/>
      <c r="K27" s="62"/>
      <c r="L27" s="62"/>
      <c r="M27" s="62"/>
    </row>
    <row x14ac:dyDescent="0.25" r="28" customHeight="1" ht="15">
      <c r="A28" s="65">
        <v>2010</v>
      </c>
      <c r="B28" s="62">
        <v>1.43910519533407</v>
      </c>
      <c r="C28" s="62">
        <v>1.48096</v>
      </c>
      <c r="D28" s="62">
        <v>1.73980503856041</v>
      </c>
      <c r="E28" s="62">
        <v>1.88177004154822</v>
      </c>
      <c r="F28" s="62">
        <f>(C28+D28+E28)/3</f>
      </c>
      <c r="G28" s="62">
        <f>AVERAGE(C28,E28)</f>
      </c>
      <c r="H28" s="61"/>
      <c r="I28" s="61"/>
      <c r="J28" s="62"/>
      <c r="K28" s="62"/>
      <c r="L28" s="62"/>
      <c r="M28" s="62"/>
    </row>
    <row x14ac:dyDescent="0.25" r="29" customHeight="1" ht="15">
      <c r="A29" s="65">
        <v>2011</v>
      </c>
      <c r="B29" s="62">
        <v>1.41000554776682</v>
      </c>
      <c r="C29" s="62">
        <v>1.46532981530343</v>
      </c>
      <c r="D29" s="62">
        <v>1.68249635798633</v>
      </c>
      <c r="E29" s="62">
        <v>1.80417941155916</v>
      </c>
      <c r="F29" s="62">
        <f>(C29+D29+E29)/3</f>
      </c>
      <c r="G29" s="62">
        <f>AVERAGE(C29,E29)</f>
      </c>
      <c r="H29" s="61"/>
      <c r="I29" s="61"/>
      <c r="J29" s="62"/>
      <c r="K29" s="62"/>
      <c r="L29" s="62"/>
      <c r="M29" s="62"/>
    </row>
    <row x14ac:dyDescent="0.25" r="30" customHeight="1" ht="15">
      <c r="A30" s="65">
        <v>2012</v>
      </c>
      <c r="B30" s="62">
        <v>1.38420256805121</v>
      </c>
      <c r="C30" s="62">
        <v>1.44249350649351</v>
      </c>
      <c r="D30" s="62">
        <v>1.64407666707154</v>
      </c>
      <c r="E30" s="62">
        <v>1.68671413544151</v>
      </c>
      <c r="F30" s="62">
        <f>(C30+D30+E30)/3</f>
      </c>
      <c r="G30" s="62">
        <f>AVERAGE(C30,E30)</f>
      </c>
      <c r="H30" s="61"/>
      <c r="I30" s="61"/>
      <c r="J30" s="62"/>
      <c r="K30" s="62"/>
      <c r="L30" s="62"/>
      <c r="M30" s="62"/>
    </row>
    <row x14ac:dyDescent="0.25" r="31" customHeight="1" ht="15">
      <c r="A31" s="65">
        <v>2013</v>
      </c>
      <c r="B31" s="62">
        <v>1.36106977885292</v>
      </c>
      <c r="C31" s="62">
        <v>1.41312977099237</v>
      </c>
      <c r="D31" s="62">
        <v>1.61697326484291</v>
      </c>
      <c r="E31" s="62">
        <v>1.62702484401588</v>
      </c>
      <c r="F31" s="62">
        <f>(C31+D31+E31)/3</f>
      </c>
      <c r="G31" s="62">
        <f>AVERAGE(C31,E31)</f>
      </c>
      <c r="H31" s="61"/>
      <c r="I31" s="61"/>
      <c r="J31" s="62"/>
      <c r="K31" s="62"/>
      <c r="L31" s="62"/>
      <c r="M31" s="62"/>
    </row>
    <row x14ac:dyDescent="0.25" r="32" customHeight="1" ht="15">
      <c r="A32" s="65">
        <v>2014</v>
      </c>
      <c r="B32" s="62">
        <v>1.33778803420576</v>
      </c>
      <c r="C32" s="62">
        <v>1.39304347826087</v>
      </c>
      <c r="D32" s="62">
        <v>1.57795327582187</v>
      </c>
      <c r="E32" s="62">
        <v>1.56640999939324</v>
      </c>
      <c r="F32" s="62">
        <f>(C32+D32+E32)/3</f>
      </c>
      <c r="G32" s="62">
        <f>AVERAGE(C32,E32)</f>
      </c>
      <c r="H32" s="61"/>
      <c r="I32" s="61"/>
      <c r="J32" s="62"/>
      <c r="K32" s="62"/>
      <c r="L32" s="62"/>
      <c r="M32" s="62"/>
    </row>
    <row x14ac:dyDescent="0.25" r="33" customHeight="1" ht="15">
      <c r="A33" s="65">
        <v>2015</v>
      </c>
      <c r="B33" s="62">
        <v>1.32544317650504</v>
      </c>
      <c r="C33" s="62">
        <v>1.36452088452088</v>
      </c>
      <c r="D33" s="62">
        <v>1.5846653502439</v>
      </c>
      <c r="E33" s="62">
        <v>1.52284342722312</v>
      </c>
      <c r="F33" s="62">
        <f>(C33+D33+E33)/3</f>
      </c>
      <c r="G33" s="62">
        <f>AVERAGE(C33,E33)</f>
      </c>
      <c r="H33" s="61"/>
      <c r="I33" s="61"/>
      <c r="J33" s="62"/>
      <c r="K33" s="62"/>
      <c r="L33" s="62"/>
      <c r="M33" s="62"/>
    </row>
    <row x14ac:dyDescent="0.25" r="34" customHeight="1" ht="15">
      <c r="A34" s="65">
        <v>2016</v>
      </c>
      <c r="B34" s="62">
        <v>1.3129865046787</v>
      </c>
      <c r="C34" s="62">
        <v>1.33607056936648</v>
      </c>
      <c r="D34" s="62">
        <v>1.582072295165</v>
      </c>
      <c r="E34" s="62">
        <v>1.50023263598326</v>
      </c>
      <c r="F34" s="62">
        <f>(C34+D34+E34)/3</f>
      </c>
      <c r="G34" s="62">
        <f>AVERAGE(C34,E34)</f>
      </c>
      <c r="H34" s="61"/>
      <c r="I34" s="61"/>
      <c r="J34" s="62"/>
      <c r="K34" s="62"/>
      <c r="L34" s="62"/>
      <c r="M34" s="62"/>
    </row>
    <row x14ac:dyDescent="0.25" r="35" customHeight="1" ht="15">
      <c r="A35" s="65">
        <v>2017</v>
      </c>
      <c r="B35" s="62">
        <v>1.28991289564478</v>
      </c>
      <c r="C35" s="62">
        <v>1.30366197183099</v>
      </c>
      <c r="D35" s="62">
        <v>1.5267530022183</v>
      </c>
      <c r="E35" s="62">
        <v>1.46536132822478</v>
      </c>
      <c r="F35" s="62">
        <f>(C35+D35+E35)/3</f>
      </c>
      <c r="G35" s="62">
        <f>AVERAGE(C35,E35)</f>
      </c>
      <c r="H35" s="61"/>
      <c r="I35" s="61"/>
      <c r="J35" s="62"/>
      <c r="K35" s="62"/>
      <c r="L35" s="62"/>
      <c r="M35" s="62"/>
    </row>
    <row x14ac:dyDescent="0.25" r="36" customHeight="1" ht="15">
      <c r="A36" s="65">
        <v>2018</v>
      </c>
      <c r="B36" s="62">
        <v>1.26099987535164</v>
      </c>
      <c r="C36" s="62">
        <v>1.26891089108911</v>
      </c>
      <c r="D36" s="62">
        <v>1.43538528101803</v>
      </c>
      <c r="E36" s="62">
        <v>1.41356859223567</v>
      </c>
      <c r="F36" s="62">
        <f>(C36+D36+E36)/3</f>
      </c>
      <c r="G36" s="62">
        <f>AVERAGE(C36,E36)</f>
      </c>
      <c r="H36" s="61"/>
      <c r="I36" s="61"/>
      <c r="J36" s="62"/>
      <c r="K36" s="62"/>
      <c r="L36" s="62"/>
      <c r="M36" s="62"/>
    </row>
    <row x14ac:dyDescent="0.25" r="37" customHeight="1" ht="15">
      <c r="A37" s="65">
        <v>2019</v>
      </c>
      <c r="B37" s="62">
        <v>1.24019412761559</v>
      </c>
      <c r="C37" s="62">
        <v>1.23048744460857</v>
      </c>
      <c r="D37" s="62">
        <v>1.43553751193128</v>
      </c>
      <c r="E37" s="62">
        <v>1.37799264458619</v>
      </c>
      <c r="F37" s="62">
        <f>(C37+D37+E37)/3</f>
      </c>
      <c r="G37" s="62">
        <f>AVERAGE(C37,E37)</f>
      </c>
      <c r="H37" s="61"/>
      <c r="I37" s="61"/>
      <c r="J37" s="62"/>
      <c r="K37" s="62"/>
      <c r="L37" s="62"/>
      <c r="M37" s="62"/>
    </row>
    <row x14ac:dyDescent="0.25" r="38" customHeight="1" ht="15">
      <c r="A38" s="65">
        <v>2020</v>
      </c>
      <c r="B38" s="62">
        <v>1.22415997570374</v>
      </c>
      <c r="C38" s="62">
        <v>1.19689655172414</v>
      </c>
      <c r="D38" s="62">
        <v>1.41478118598007</v>
      </c>
      <c r="E38" s="62">
        <v>1.35909466701764</v>
      </c>
      <c r="F38" s="62">
        <f>(C38+D38+E38)/3</f>
      </c>
      <c r="G38" s="62">
        <f>AVERAGE(C38,E38)</f>
      </c>
      <c r="H38" s="61"/>
      <c r="I38" s="61"/>
      <c r="J38" s="62"/>
      <c r="K38" s="62"/>
      <c r="L38" s="62"/>
      <c r="M38" s="62"/>
    </row>
    <row x14ac:dyDescent="0.25" r="39" customHeight="1" ht="15">
      <c r="A39" s="65">
        <v>2021</v>
      </c>
      <c r="B39" s="62">
        <v>1.17061802736755</v>
      </c>
      <c r="C39" s="62">
        <v>1.1618410041841</v>
      </c>
      <c r="D39" s="62">
        <v>1.11528628905674</v>
      </c>
      <c r="E39" s="62">
        <v>1.2994960627781</v>
      </c>
      <c r="F39" s="62">
        <f>(C39+D39+E39)/3</f>
      </c>
      <c r="G39" s="62">
        <f>AVERAGE(C39,E39)</f>
      </c>
      <c r="H39" s="61"/>
      <c r="I39" s="61"/>
      <c r="J39" s="62"/>
      <c r="K39" s="62"/>
      <c r="L39" s="62"/>
      <c r="M39" s="62"/>
    </row>
    <row x14ac:dyDescent="0.25" r="40" customHeight="1" ht="15">
      <c r="A40" s="65">
        <v>2022</v>
      </c>
      <c r="B40" s="62">
        <v>1.09341386552396</v>
      </c>
      <c r="C40" s="62">
        <v>1.11667560321716</v>
      </c>
      <c r="D40" s="62">
        <v>0.990802740289562</v>
      </c>
      <c r="E40" s="62">
        <v>1.14982961225101</v>
      </c>
      <c r="F40" s="62">
        <f>(C40+D40+E40)/3</f>
      </c>
      <c r="G40" s="62">
        <f>AVERAGE(C40,E40)</f>
      </c>
      <c r="H40" s="61"/>
      <c r="I40" s="61"/>
      <c r="J40" s="62"/>
      <c r="K40" s="62"/>
      <c r="L40" s="62"/>
      <c r="M40" s="62"/>
    </row>
    <row x14ac:dyDescent="0.25" r="41" customHeight="1" ht="15">
      <c r="A41" s="65">
        <v>2023</v>
      </c>
      <c r="B41" s="62">
        <v>1.05496127264548</v>
      </c>
      <c r="C41" s="62">
        <v>1.07074550128535</v>
      </c>
      <c r="D41" s="62">
        <v>1.01991681334844</v>
      </c>
      <c r="E41" s="62">
        <v>1.06521174670608</v>
      </c>
      <c r="F41" s="62">
        <f>(C41+D41+E41)/3</f>
      </c>
      <c r="G41" s="62">
        <f>AVERAGE(C41,E41)</f>
      </c>
      <c r="H41" s="61"/>
      <c r="I41" s="61"/>
      <c r="J41" s="62"/>
      <c r="K41" s="62"/>
      <c r="L41" s="62"/>
      <c r="M41" s="62"/>
    </row>
    <row x14ac:dyDescent="0.25" r="42" customHeight="1" ht="15">
      <c r="A42" s="65">
        <v>2024</v>
      </c>
      <c r="B42" s="62">
        <v>1.03</v>
      </c>
      <c r="C42" s="62">
        <v>1.04</v>
      </c>
      <c r="D42" s="62">
        <v>1.03</v>
      </c>
      <c r="E42" s="62">
        <v>1.06</v>
      </c>
      <c r="F42" s="62">
        <f>(C42+D42+E42)/3</f>
      </c>
      <c r="G42" s="62">
        <f>AVERAGE(C42,E42)</f>
      </c>
      <c r="H42" s="61"/>
      <c r="I42" s="61"/>
      <c r="J42" s="62"/>
      <c r="K42" s="62"/>
      <c r="L42" s="62"/>
      <c r="M42" s="62"/>
    </row>
    <row x14ac:dyDescent="0.25" r="43" customHeight="1" ht="15">
      <c r="A43" s="65">
        <v>2025</v>
      </c>
      <c r="B43" s="62">
        <v>1</v>
      </c>
      <c r="C43" s="62">
        <v>1</v>
      </c>
      <c r="D43" s="62">
        <v>1</v>
      </c>
      <c r="E43" s="62">
        <v>1</v>
      </c>
      <c r="F43" s="62">
        <f>(C43+D43+E43)/3</f>
      </c>
      <c r="G43" s="62">
        <f>AVERAGE(C43,E43)</f>
      </c>
      <c r="H43" s="61"/>
      <c r="I43" s="61"/>
      <c r="J43" s="62"/>
      <c r="K43" s="62"/>
      <c r="L43" s="62"/>
      <c r="M43" s="6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7"/>
  <sheetViews>
    <sheetView workbookViewId="0"/>
  </sheetViews>
  <sheetFormatPr defaultRowHeight="15" x14ac:dyDescent="0.25"/>
  <cols>
    <col min="1" max="1" style="50" width="27.433571428571426" customWidth="1" bestFit="1"/>
    <col min="2" max="2" style="57" width="13.290714285714287" customWidth="1" bestFit="1"/>
    <col min="3" max="3" style="70" width="13.576428571428572" customWidth="1" bestFit="1"/>
    <col min="4" max="4" style="71" width="13.576428571428572" customWidth="1" bestFit="1"/>
    <col min="5" max="5" style="71" width="13.576428571428572" customWidth="1" bestFit="1"/>
  </cols>
  <sheetData>
    <row x14ac:dyDescent="0.25" r="1" customHeight="1" ht="15">
      <c r="A1" s="58" t="s">
        <v>269</v>
      </c>
      <c r="B1" s="59" t="s">
        <v>270</v>
      </c>
      <c r="C1" s="60" t="s">
        <v>271</v>
      </c>
      <c r="D1" s="60" t="s">
        <v>272</v>
      </c>
      <c r="E1" s="60" t="s">
        <v>21</v>
      </c>
    </row>
    <row x14ac:dyDescent="0.25" r="2" customHeight="1" ht="15">
      <c r="A2" s="61" t="s">
        <v>273</v>
      </c>
      <c r="B2" s="62">
        <v>0.0653899320525433</v>
      </c>
      <c r="C2" s="63"/>
      <c r="D2" s="64"/>
      <c r="E2" s="64"/>
    </row>
    <row x14ac:dyDescent="0.25" r="3" customHeight="1" ht="15">
      <c r="A3" s="61" t="s">
        <v>274</v>
      </c>
      <c r="B3" s="65">
        <v>5</v>
      </c>
      <c r="C3" s="63"/>
      <c r="D3" s="64"/>
      <c r="E3" s="64"/>
    </row>
    <row x14ac:dyDescent="0.25" r="4" customHeight="1" ht="15">
      <c r="A4" s="61" t="s">
        <v>275</v>
      </c>
      <c r="B4" s="65">
        <v>5</v>
      </c>
      <c r="C4" s="63"/>
      <c r="D4" s="64"/>
      <c r="E4" s="64"/>
    </row>
    <row x14ac:dyDescent="0.25" r="5" customHeight="1" ht="15">
      <c r="A5" s="61" t="s">
        <v>276</v>
      </c>
      <c r="B5" s="65">
        <v>5</v>
      </c>
      <c r="C5" s="63"/>
      <c r="D5" s="64"/>
      <c r="E5" s="64"/>
    </row>
    <row x14ac:dyDescent="0.25" r="6" customHeight="1" ht="15">
      <c r="A6" s="61" t="s">
        <v>277</v>
      </c>
      <c r="B6" s="65">
        <v>1800</v>
      </c>
      <c r="C6" s="63"/>
      <c r="D6" s="64"/>
      <c r="E6" s="64"/>
    </row>
    <row x14ac:dyDescent="0.25" r="7" customHeight="1" ht="15">
      <c r="A7" s="61" t="s">
        <v>278</v>
      </c>
      <c r="B7" s="65">
        <v>10</v>
      </c>
      <c r="C7" s="63"/>
      <c r="D7" s="64"/>
      <c r="E7" s="64"/>
    </row>
    <row x14ac:dyDescent="0.25" r="8" customHeight="1" ht="15">
      <c r="A8" s="61" t="s">
        <v>279</v>
      </c>
      <c r="B8" s="66">
        <v>0.03</v>
      </c>
      <c r="C8" s="63"/>
      <c r="D8" s="64"/>
      <c r="E8" s="64"/>
    </row>
    <row x14ac:dyDescent="0.25" r="9" customHeight="1" ht="15">
      <c r="A9" s="61" t="s">
        <v>280</v>
      </c>
      <c r="B9" s="66">
        <v>0.08</v>
      </c>
      <c r="C9" s="67" t="s">
        <v>281</v>
      </c>
      <c r="D9" s="67" t="s">
        <v>282</v>
      </c>
      <c r="E9" s="67" t="s">
        <v>283</v>
      </c>
    </row>
    <row x14ac:dyDescent="0.25" r="10" customHeight="1" ht="15">
      <c r="A10" s="68" t="s">
        <v>44</v>
      </c>
      <c r="B10" s="65">
        <v>0</v>
      </c>
      <c r="C10" s="69"/>
      <c r="D10" s="69"/>
      <c r="E10" s="69"/>
    </row>
    <row x14ac:dyDescent="0.25" r="11" customHeight="1" ht="15">
      <c r="A11" s="68" t="s">
        <v>284</v>
      </c>
      <c r="B11" s="65">
        <v>0</v>
      </c>
      <c r="C11" s="69"/>
      <c r="D11" s="69"/>
      <c r="E11" s="69"/>
    </row>
    <row x14ac:dyDescent="0.25" r="12" customHeight="1" ht="15">
      <c r="A12" s="68" t="s">
        <v>285</v>
      </c>
      <c r="B12" s="66">
        <v>0.184431698201097</v>
      </c>
      <c r="C12" s="69"/>
      <c r="D12" s="69"/>
      <c r="E12" s="69"/>
    </row>
    <row x14ac:dyDescent="0.25" r="13" customHeight="1" ht="15">
      <c r="A13" s="68" t="s">
        <v>286</v>
      </c>
      <c r="B13" s="66">
        <v>0.24138</v>
      </c>
      <c r="C13" s="69"/>
      <c r="D13" s="69"/>
      <c r="E13" s="69"/>
    </row>
    <row x14ac:dyDescent="0.25" r="14" customHeight="1" ht="15">
      <c r="A14" s="68" t="s">
        <v>287</v>
      </c>
      <c r="B14" s="62">
        <v>0.229628480221155</v>
      </c>
      <c r="C14" s="69"/>
      <c r="D14" s="69"/>
      <c r="E14" s="69"/>
    </row>
    <row x14ac:dyDescent="0.25" r="15" customHeight="1" ht="15">
      <c r="A15" s="68" t="s">
        <v>288</v>
      </c>
      <c r="B15" s="66">
        <v>0.415053776785993</v>
      </c>
      <c r="C15" s="69"/>
      <c r="D15" s="69"/>
      <c r="E15" s="69"/>
    </row>
    <row x14ac:dyDescent="0.25" r="16" customHeight="1" ht="15">
      <c r="A16" s="68" t="s">
        <v>289</v>
      </c>
      <c r="B16" s="66">
        <v>0.399149058114017</v>
      </c>
      <c r="C16" s="69"/>
      <c r="D16" s="69"/>
      <c r="E16" s="69"/>
    </row>
    <row x14ac:dyDescent="0.25" r="17" customHeight="1" ht="15">
      <c r="A17" s="68" t="s">
        <v>290</v>
      </c>
      <c r="B17" s="66">
        <v>0.05</v>
      </c>
      <c r="C17" s="69"/>
      <c r="D17" s="64" t="s">
        <v>291</v>
      </c>
      <c r="E17" s="64" t="s">
        <v>292</v>
      </c>
    </row>
  </sheetData>
  <mergeCells count="3">
    <mergeCell ref="C9:C17"/>
    <mergeCell ref="D9:D16"/>
    <mergeCell ref="E9:E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G268"/>
  <sheetViews>
    <sheetView workbookViewId="0"/>
  </sheetViews>
  <sheetFormatPr defaultRowHeight="15" x14ac:dyDescent="0.25"/>
  <cols>
    <col min="1" max="1" style="49" width="8.719285714285713" customWidth="1" bestFit="1"/>
    <col min="2" max="2" style="49" width="4.719285714285714" customWidth="1" bestFit="1"/>
    <col min="3" max="3" style="50" width="32.71928571428572" customWidth="1" bestFit="1"/>
    <col min="4" max="4" style="51" width="44.71928571428572" customWidth="1" bestFit="1"/>
    <col min="5" max="5" style="51" width="13.290714285714287" customWidth="1" bestFit="1"/>
    <col min="6" max="6" style="51" width="13.719285714285713" customWidth="1" bestFit="1"/>
    <col min="7" max="7" style="52" width="13.719285714285713" customWidth="1" bestFit="1"/>
    <col min="8" max="8" style="51" width="13.719285714285713" customWidth="1" bestFit="1"/>
    <col min="9" max="9" style="53" width="13.576428571428572" customWidth="1" bestFit="1"/>
    <col min="10" max="10" style="54" width="13.719285714285713" customWidth="1" bestFit="1"/>
    <col min="11" max="11" style="54" width="19.719285714285714" customWidth="1" bestFit="1"/>
    <col min="12" max="12" style="50" width="10.005" customWidth="1" bestFit="1"/>
    <col min="13" max="13" style="50" width="15.719285714285713" customWidth="1" bestFit="1"/>
    <col min="14" max="14" style="55" width="8.719285714285713" customWidth="1" bestFit="1"/>
    <col min="15" max="15" style="50" width="7.2907142857142855" customWidth="1" bestFit="1"/>
    <col min="16" max="16" style="54" width="7.719285714285714" customWidth="1" bestFit="1"/>
    <col min="17" max="17" style="55" width="8.147857142857141" customWidth="1" bestFit="1"/>
    <col min="18" max="18" style="50" width="10.719285714285713" customWidth="1" bestFit="1"/>
    <col min="19" max="19" style="50" width="29.005" customWidth="1" bestFit="1"/>
    <col min="20" max="20" style="50" width="98.7192857142857" customWidth="1" bestFit="1"/>
    <col min="21" max="21" style="50" width="81.14785714285713" customWidth="1" bestFit="1"/>
    <col min="22" max="22" style="50" width="116.86214285714286" customWidth="1" bestFit="1"/>
    <col min="23" max="23" style="50" width="21.433571428571426" customWidth="1" bestFit="1"/>
    <col min="24" max="24" style="56" width="16.719285714285714" customWidth="1" bestFit="1"/>
    <col min="25" max="25" style="56" width="13.43357142857143" customWidth="1" bestFit="1"/>
    <col min="26" max="26" style="50" width="16.14785714285714" customWidth="1" bestFit="1"/>
    <col min="27" max="27" style="54" width="16.719285714285714" customWidth="1" bestFit="1"/>
    <col min="28" max="28" style="54" width="11.005" customWidth="1" bestFit="1"/>
    <col min="29" max="29" style="50" width="12.43357142857143" customWidth="1" bestFit="1"/>
    <col min="30" max="30" style="57" width="6.719285714285714" customWidth="1" bestFit="1"/>
    <col min="31" max="31" style="54" width="13.576428571428572" customWidth="1" bestFit="1"/>
    <col min="32" max="32" style="54" width="13.576428571428572" customWidth="1" bestFit="1"/>
    <col min="33" max="33" style="50" width="16.14785714285714" customWidth="1" bestFit="1"/>
  </cols>
  <sheetData>
    <row x14ac:dyDescent="0.25" r="1" customHeight="1" ht="38.25">
      <c r="A1" s="1" t="s">
        <v>0</v>
      </c>
      <c r="B1" s="1" t="s">
        <v>1</v>
      </c>
      <c r="C1" s="2" t="s">
        <v>2</v>
      </c>
      <c r="D1" s="2" t="s">
        <v>3</v>
      </c>
      <c r="E1" s="2" t="s">
        <v>4</v>
      </c>
      <c r="F1" s="2" t="s">
        <v>5</v>
      </c>
      <c r="G1" s="3" t="s">
        <v>6</v>
      </c>
      <c r="H1" s="2" t="s">
        <v>7</v>
      </c>
      <c r="I1" s="2" t="s">
        <v>8</v>
      </c>
      <c r="J1" s="1" t="s">
        <v>9</v>
      </c>
      <c r="K1" s="1" t="s">
        <v>10</v>
      </c>
      <c r="L1" s="2" t="s">
        <v>11</v>
      </c>
      <c r="M1" s="4" t="s">
        <v>12</v>
      </c>
      <c r="N1" s="1" t="s">
        <v>13</v>
      </c>
      <c r="O1" s="2" t="s">
        <v>14</v>
      </c>
      <c r="P1" s="1" t="s">
        <v>15</v>
      </c>
      <c r="Q1" s="1" t="s">
        <v>16</v>
      </c>
      <c r="R1" s="2" t="s">
        <v>17</v>
      </c>
      <c r="S1" s="2" t="s">
        <v>18</v>
      </c>
      <c r="T1" s="2" t="s">
        <v>19</v>
      </c>
      <c r="U1" s="2" t="s">
        <v>20</v>
      </c>
      <c r="V1" s="2" t="s">
        <v>21</v>
      </c>
      <c r="W1" s="2" t="s">
        <v>22</v>
      </c>
      <c r="X1" s="5" t="s">
        <v>23</v>
      </c>
      <c r="Y1" s="5" t="s">
        <v>24</v>
      </c>
      <c r="Z1" s="2" t="s">
        <v>25</v>
      </c>
      <c r="AA1" s="1" t="s">
        <v>26</v>
      </c>
      <c r="AB1" s="1" t="s">
        <v>27</v>
      </c>
      <c r="AC1" s="2" t="s">
        <v>28</v>
      </c>
      <c r="AD1" s="3" t="s">
        <v>29</v>
      </c>
      <c r="AE1" s="1" t="s">
        <v>30</v>
      </c>
      <c r="AF1" s="1" t="s">
        <v>31</v>
      </c>
      <c r="AG1" s="2" t="s">
        <v>32</v>
      </c>
    </row>
    <row x14ac:dyDescent="0.25" r="2" customHeight="1" ht="15">
      <c r="A2" s="6">
        <v>10</v>
      </c>
      <c r="B2" s="6">
        <v>0</v>
      </c>
      <c r="C2" s="7" t="s">
        <v>33</v>
      </c>
      <c r="D2" s="8">
        <f>REPT("   ", B2*2) &amp; C2</f>
      </c>
      <c r="E2" s="9"/>
      <c r="F2" s="9"/>
      <c r="G2" s="10"/>
      <c r="H2" s="9"/>
      <c r="I2" s="9"/>
      <c r="J2" s="11"/>
      <c r="K2" s="11"/>
      <c r="L2" s="6"/>
      <c r="M2" s="6"/>
      <c r="N2" s="6"/>
      <c r="O2" s="6"/>
      <c r="P2" s="11"/>
      <c r="Q2" s="11"/>
      <c r="R2" s="6"/>
      <c r="S2" s="1"/>
      <c r="T2" s="6"/>
      <c r="U2" s="6"/>
      <c r="V2" s="6"/>
      <c r="W2" s="4"/>
      <c r="X2" s="12"/>
      <c r="Y2" s="12"/>
      <c r="Z2" s="4"/>
      <c r="AA2" s="11"/>
      <c r="AB2" s="11"/>
      <c r="AC2" s="4"/>
      <c r="AD2" s="13"/>
      <c r="AE2" s="11"/>
      <c r="AF2" s="11"/>
      <c r="AG2" s="4"/>
    </row>
    <row x14ac:dyDescent="0.25" r="3" customHeight="1" ht="38.25">
      <c r="A3" s="6">
        <v>11</v>
      </c>
      <c r="B3" s="6">
        <v>1</v>
      </c>
      <c r="C3" s="7" t="s">
        <v>34</v>
      </c>
      <c r="D3" s="8">
        <f>REPT("   ", B3*2) &amp; C3</f>
      </c>
      <c r="E3" s="7" t="s">
        <v>35</v>
      </c>
      <c r="F3" s="7" t="s">
        <v>36</v>
      </c>
      <c r="G3" s="10">
        <v>1</v>
      </c>
      <c r="H3" s="9"/>
      <c r="I3" s="9"/>
      <c r="J3" s="14"/>
      <c r="K3" s="14">
        <v>3800</v>
      </c>
      <c r="L3" s="15" t="s">
        <v>37</v>
      </c>
      <c r="M3" s="15" t="s">
        <v>38</v>
      </c>
      <c r="N3" s="14"/>
      <c r="O3" s="15" t="s">
        <v>39</v>
      </c>
      <c r="P3" s="14"/>
      <c r="Q3" s="14">
        <v>2022</v>
      </c>
      <c r="R3" s="15" t="s">
        <v>40</v>
      </c>
      <c r="S3" s="7" t="s">
        <v>41</v>
      </c>
      <c r="T3" s="16" t="s">
        <v>42</v>
      </c>
      <c r="U3" s="17" t="s">
        <v>43</v>
      </c>
      <c r="V3" s="15"/>
      <c r="W3" s="4" t="s">
        <v>44</v>
      </c>
      <c r="X3" s="12">
        <f>0.9*$J3</f>
      </c>
      <c r="Y3" s="12">
        <f>1.5*J3</f>
      </c>
      <c r="Z3" s="4" t="s">
        <v>45</v>
      </c>
      <c r="AA3" s="11">
        <f>0.9*K3</f>
      </c>
      <c r="AB3" s="11">
        <f>1.3*K3</f>
      </c>
      <c r="AC3" s="4" t="s">
        <v>45</v>
      </c>
      <c r="AD3" s="13">
        <v>0.1</v>
      </c>
      <c r="AE3" s="11">
        <v>1</v>
      </c>
      <c r="AF3" s="11">
        <v>0</v>
      </c>
      <c r="AG3" s="4" t="s">
        <v>46</v>
      </c>
    </row>
    <row x14ac:dyDescent="0.25" r="4" customHeight="1" ht="15">
      <c r="A4" s="6">
        <v>12</v>
      </c>
      <c r="B4" s="6">
        <v>1</v>
      </c>
      <c r="C4" s="7" t="s">
        <v>47</v>
      </c>
      <c r="D4" s="8">
        <f>REPT("   ", B4*2) &amp; C4</f>
      </c>
      <c r="E4" s="7" t="s">
        <v>35</v>
      </c>
      <c r="F4" s="7" t="s">
        <v>36</v>
      </c>
      <c r="G4" s="10">
        <v>1</v>
      </c>
      <c r="H4" s="9"/>
      <c r="I4" s="9"/>
      <c r="J4" s="14"/>
      <c r="K4" s="14">
        <f>10.03*1000</f>
      </c>
      <c r="L4" s="15" t="s">
        <v>48</v>
      </c>
      <c r="M4" s="15" t="s">
        <v>49</v>
      </c>
      <c r="N4" s="14"/>
      <c r="O4" s="15" t="s">
        <v>50</v>
      </c>
      <c r="P4" s="14"/>
      <c r="Q4" s="14">
        <v>2022</v>
      </c>
      <c r="R4" s="15" t="s">
        <v>51</v>
      </c>
      <c r="S4" s="7" t="s">
        <v>52</v>
      </c>
      <c r="T4" s="7"/>
      <c r="U4" s="7"/>
      <c r="V4" s="15"/>
      <c r="W4" s="4" t="s">
        <v>44</v>
      </c>
      <c r="X4" s="12">
        <f>0.9*$J4</f>
      </c>
      <c r="Y4" s="12">
        <f>1.5*J4</f>
      </c>
      <c r="Z4" s="4" t="s">
        <v>45</v>
      </c>
      <c r="AA4" s="11">
        <f>0.9*K4</f>
      </c>
      <c r="AB4" s="11">
        <f>1.3*K4</f>
      </c>
      <c r="AC4" s="4" t="s">
        <v>45</v>
      </c>
      <c r="AD4" s="13">
        <v>0.1</v>
      </c>
      <c r="AE4" s="11">
        <v>1</v>
      </c>
      <c r="AF4" s="11">
        <v>0</v>
      </c>
      <c r="AG4" s="4" t="s">
        <v>46</v>
      </c>
    </row>
    <row x14ac:dyDescent="0.25" r="5" customHeight="1" ht="15">
      <c r="A5" s="6">
        <v>13</v>
      </c>
      <c r="B5" s="6">
        <v>1</v>
      </c>
      <c r="C5" s="7" t="s">
        <v>53</v>
      </c>
      <c r="D5" s="8">
        <f>REPT("   ", B5*2) &amp; C5</f>
      </c>
      <c r="E5" s="7" t="s">
        <v>35</v>
      </c>
      <c r="F5" s="7" t="s">
        <v>36</v>
      </c>
      <c r="G5" s="10">
        <v>1</v>
      </c>
      <c r="H5" s="9"/>
      <c r="I5" s="9"/>
      <c r="J5" s="14">
        <f>1000000*(45+70)/2</f>
      </c>
      <c r="K5" s="14"/>
      <c r="L5" s="14"/>
      <c r="M5" s="14"/>
      <c r="N5" s="14"/>
      <c r="O5" s="15"/>
      <c r="P5" s="14"/>
      <c r="Q5" s="14">
        <v>2009</v>
      </c>
      <c r="R5" s="15" t="s">
        <v>51</v>
      </c>
      <c r="S5" s="7" t="s">
        <v>54</v>
      </c>
      <c r="T5" s="16" t="s">
        <v>55</v>
      </c>
      <c r="U5" s="17" t="s">
        <v>56</v>
      </c>
      <c r="V5" s="15"/>
      <c r="W5" s="4" t="s">
        <v>44</v>
      </c>
      <c r="X5" s="12">
        <f>45*1000000</f>
      </c>
      <c r="Y5" s="12">
        <f>70*1000000</f>
      </c>
      <c r="Z5" s="4" t="s">
        <v>57</v>
      </c>
      <c r="AA5" s="11">
        <f>0.9*K5</f>
      </c>
      <c r="AB5" s="11">
        <f>1.3*K5</f>
      </c>
      <c r="AC5" s="4" t="s">
        <v>45</v>
      </c>
      <c r="AD5" s="13">
        <v>0.1</v>
      </c>
      <c r="AE5" s="11">
        <v>1</v>
      </c>
      <c r="AF5" s="11">
        <v>0</v>
      </c>
      <c r="AG5" s="4" t="s">
        <v>46</v>
      </c>
    </row>
    <row x14ac:dyDescent="0.25" r="6" customHeight="1" ht="15">
      <c r="A6" s="6">
        <v>14</v>
      </c>
      <c r="B6" s="6">
        <v>1</v>
      </c>
      <c r="C6" s="7" t="s">
        <v>58</v>
      </c>
      <c r="D6" s="8">
        <f>REPT("   ", B6*2) &amp; C6</f>
      </c>
      <c r="E6" s="7" t="s">
        <v>35</v>
      </c>
      <c r="F6" s="7" t="s">
        <v>36</v>
      </c>
      <c r="G6" s="10">
        <v>1</v>
      </c>
      <c r="H6" s="9"/>
      <c r="I6" s="9"/>
      <c r="J6" s="14">
        <v>3000000</v>
      </c>
      <c r="K6" s="14"/>
      <c r="L6" s="14"/>
      <c r="M6" s="14"/>
      <c r="N6" s="14"/>
      <c r="O6" s="15"/>
      <c r="P6" s="14"/>
      <c r="Q6" s="14">
        <v>2009</v>
      </c>
      <c r="R6" s="15" t="s">
        <v>51</v>
      </c>
      <c r="S6" s="7" t="s">
        <v>54</v>
      </c>
      <c r="T6" s="7"/>
      <c r="U6" s="7"/>
      <c r="V6" s="15"/>
      <c r="W6" s="4" t="s">
        <v>44</v>
      </c>
      <c r="X6" s="12">
        <f>0.9*$J6</f>
      </c>
      <c r="Y6" s="12">
        <f>1.5*J6</f>
      </c>
      <c r="Z6" s="4" t="s">
        <v>45</v>
      </c>
      <c r="AA6" s="11">
        <f>0.9*K6</f>
      </c>
      <c r="AB6" s="11">
        <f>1.3*K6</f>
      </c>
      <c r="AC6" s="4" t="s">
        <v>45</v>
      </c>
      <c r="AD6" s="13">
        <v>0.1</v>
      </c>
      <c r="AE6" s="11">
        <v>1</v>
      </c>
      <c r="AF6" s="11">
        <v>0</v>
      </c>
      <c r="AG6" s="4" t="s">
        <v>46</v>
      </c>
    </row>
    <row x14ac:dyDescent="0.25" r="7" customHeight="1" ht="102">
      <c r="A7" s="6">
        <v>15</v>
      </c>
      <c r="B7" s="6">
        <v>1</v>
      </c>
      <c r="C7" s="7" t="s">
        <v>59</v>
      </c>
      <c r="D7" s="8">
        <f>REPT("   ", B7*2) &amp; C7</f>
      </c>
      <c r="E7" s="7" t="s">
        <v>35</v>
      </c>
      <c r="F7" s="7" t="s">
        <v>36</v>
      </c>
      <c r="G7" s="10">
        <v>1</v>
      </c>
      <c r="H7" s="9"/>
      <c r="I7" s="9"/>
      <c r="J7" s="14">
        <f>MARVEL_Cost!C4</f>
      </c>
      <c r="K7" s="14"/>
      <c r="L7" s="14"/>
      <c r="M7" s="14"/>
      <c r="N7" s="14"/>
      <c r="O7" s="15"/>
      <c r="P7" s="14"/>
      <c r="Q7" s="14">
        <v>2024</v>
      </c>
      <c r="R7" s="15" t="s">
        <v>51</v>
      </c>
      <c r="S7" s="7" t="s">
        <v>60</v>
      </c>
      <c r="T7" s="7" t="s">
        <v>61</v>
      </c>
      <c r="U7" s="15" t="s">
        <v>62</v>
      </c>
      <c r="V7" s="15" t="s">
        <v>63</v>
      </c>
      <c r="W7" s="4" t="s">
        <v>44</v>
      </c>
      <c r="X7" s="12">
        <f>0.9*$J7</f>
      </c>
      <c r="Y7" s="12">
        <f>1.5*J7</f>
      </c>
      <c r="Z7" s="4" t="s">
        <v>45</v>
      </c>
      <c r="AA7" s="11">
        <f>0.9*K7</f>
      </c>
      <c r="AB7" s="11">
        <f>1.3*K7</f>
      </c>
      <c r="AC7" s="4" t="s">
        <v>45</v>
      </c>
      <c r="AD7" s="13">
        <v>0.1</v>
      </c>
      <c r="AE7" s="11">
        <v>1</v>
      </c>
      <c r="AF7" s="11">
        <v>0</v>
      </c>
      <c r="AG7" s="4" t="s">
        <v>46</v>
      </c>
    </row>
    <row x14ac:dyDescent="0.25" r="8" customHeight="1" ht="15">
      <c r="A8" s="1">
        <v>20</v>
      </c>
      <c r="B8" s="6">
        <v>0</v>
      </c>
      <c r="C8" s="7" t="s">
        <v>64</v>
      </c>
      <c r="D8" s="8">
        <f>REPT("   ", B8*2) &amp; C8</f>
      </c>
      <c r="E8" s="9"/>
      <c r="F8" s="9"/>
      <c r="G8" s="10"/>
      <c r="H8" s="9"/>
      <c r="I8" s="9"/>
      <c r="J8" s="14"/>
      <c r="K8" s="18"/>
      <c r="L8" s="2"/>
      <c r="M8" s="4"/>
      <c r="N8" s="1"/>
      <c r="O8" s="2"/>
      <c r="P8" s="18"/>
      <c r="Q8" s="18"/>
      <c r="R8" s="2"/>
      <c r="S8" s="2"/>
      <c r="T8" s="2"/>
      <c r="U8" s="2"/>
      <c r="V8" s="2"/>
      <c r="W8" s="4"/>
      <c r="X8" s="12"/>
      <c r="Y8" s="12"/>
      <c r="Z8" s="4"/>
      <c r="AA8" s="11"/>
      <c r="AB8" s="11"/>
      <c r="AC8" s="4"/>
      <c r="AD8" s="13"/>
      <c r="AE8" s="11"/>
      <c r="AF8" s="11"/>
      <c r="AG8" s="4"/>
    </row>
    <row x14ac:dyDescent="0.25" r="9" customHeight="1" ht="15">
      <c r="A9" s="6">
        <v>21</v>
      </c>
      <c r="B9" s="6">
        <v>1</v>
      </c>
      <c r="C9" s="7" t="s">
        <v>65</v>
      </c>
      <c r="D9" s="8">
        <f>REPT("   ", B9*2) &amp; C9</f>
      </c>
      <c r="E9" s="9"/>
      <c r="F9" s="9"/>
      <c r="G9" s="10"/>
      <c r="H9" s="9"/>
      <c r="I9" s="9"/>
      <c r="J9" s="14"/>
      <c r="K9" s="14"/>
      <c r="L9" s="14"/>
      <c r="M9" s="14"/>
      <c r="N9" s="14"/>
      <c r="O9" s="14"/>
      <c r="P9" s="14"/>
      <c r="Q9" s="14"/>
      <c r="R9" s="14"/>
      <c r="S9" s="19"/>
      <c r="T9" s="14"/>
      <c r="U9" s="14"/>
      <c r="V9" s="15"/>
      <c r="W9" s="4"/>
      <c r="X9" s="12"/>
      <c r="Y9" s="12"/>
      <c r="Z9" s="4"/>
      <c r="AA9" s="11"/>
      <c r="AB9" s="11"/>
      <c r="AC9" s="4"/>
      <c r="AD9" s="13"/>
      <c r="AE9" s="11"/>
      <c r="AF9" s="11"/>
      <c r="AG9" s="4"/>
    </row>
    <row x14ac:dyDescent="0.25" r="10" customHeight="1" ht="15">
      <c r="A10" s="20">
        <v>211</v>
      </c>
      <c r="B10" s="6">
        <v>2</v>
      </c>
      <c r="C10" s="7" t="s">
        <v>66</v>
      </c>
      <c r="D10" s="8">
        <f>REPT("   ", B10*2) &amp; C10</f>
      </c>
      <c r="E10" s="9"/>
      <c r="F10" s="9"/>
      <c r="G10" s="10"/>
      <c r="H10" s="9"/>
      <c r="I10" s="9"/>
      <c r="J10" s="14"/>
      <c r="K10" s="14"/>
      <c r="L10" s="14"/>
      <c r="M10" s="14"/>
      <c r="N10" s="14"/>
      <c r="O10" s="14"/>
      <c r="P10" s="14"/>
      <c r="Q10" s="14"/>
      <c r="R10" s="14"/>
      <c r="S10" s="19"/>
      <c r="T10" s="14"/>
      <c r="U10" s="14"/>
      <c r="V10" s="15"/>
      <c r="W10" s="4"/>
      <c r="X10" s="12"/>
      <c r="Y10" s="12"/>
      <c r="Z10" s="4"/>
      <c r="AA10" s="11"/>
      <c r="AB10" s="11"/>
      <c r="AC10" s="4"/>
      <c r="AD10" s="13"/>
      <c r="AE10" s="11"/>
      <c r="AF10" s="11"/>
      <c r="AG10" s="4"/>
    </row>
    <row x14ac:dyDescent="0.25" r="11" customHeight="1" ht="15">
      <c r="A11" s="21">
        <v>211.1</v>
      </c>
      <c r="B11" s="6">
        <v>3</v>
      </c>
      <c r="C11" s="7" t="s">
        <v>67</v>
      </c>
      <c r="D11" s="8">
        <f>REPT("   ", B11*2) &amp; C11</f>
      </c>
      <c r="E11" s="7" t="s">
        <v>35</v>
      </c>
      <c r="F11" s="7" t="s">
        <v>36</v>
      </c>
      <c r="G11" s="10">
        <v>1</v>
      </c>
      <c r="H11" s="9"/>
      <c r="I11" s="9"/>
      <c r="J11" s="14"/>
      <c r="K11" s="14">
        <f>4408.18*1.33</f>
      </c>
      <c r="L11" s="15" t="s">
        <v>37</v>
      </c>
      <c r="M11" s="15" t="s">
        <v>38</v>
      </c>
      <c r="N11" s="14"/>
      <c r="O11" s="15" t="s">
        <v>39</v>
      </c>
      <c r="P11" s="14"/>
      <c r="Q11" s="14">
        <v>2024</v>
      </c>
      <c r="R11" s="15" t="s">
        <v>68</v>
      </c>
      <c r="S11" s="16" t="s">
        <v>69</v>
      </c>
      <c r="T11" s="16" t="s">
        <v>70</v>
      </c>
      <c r="U11" s="22" t="s">
        <v>71</v>
      </c>
      <c r="V11" s="15"/>
      <c r="W11" s="4" t="s">
        <v>44</v>
      </c>
      <c r="X11" s="12">
        <f>0.9*$J11</f>
      </c>
      <c r="Y11" s="12">
        <f>1.5*J11</f>
      </c>
      <c r="Z11" s="4" t="s">
        <v>45</v>
      </c>
      <c r="AA11" s="13">
        <f>0.9*K11</f>
      </c>
      <c r="AB11" s="13">
        <f>1.3*K11</f>
      </c>
      <c r="AC11" s="4" t="s">
        <v>45</v>
      </c>
      <c r="AD11" s="13">
        <v>0.1</v>
      </c>
      <c r="AE11" s="11">
        <v>1</v>
      </c>
      <c r="AF11" s="11">
        <v>0</v>
      </c>
      <c r="AG11" s="4" t="s">
        <v>46</v>
      </c>
    </row>
    <row x14ac:dyDescent="0.25" r="12" customHeight="1" ht="15">
      <c r="A12" s="23">
        <v>211.2</v>
      </c>
      <c r="B12" s="6">
        <v>3</v>
      </c>
      <c r="C12" s="7" t="s">
        <v>72</v>
      </c>
      <c r="D12" s="8">
        <f>REPT("   ", B12*2) &amp; C12</f>
      </c>
      <c r="E12" s="7" t="s">
        <v>35</v>
      </c>
      <c r="F12" s="7" t="s">
        <v>36</v>
      </c>
      <c r="G12" s="10">
        <v>1</v>
      </c>
      <c r="H12" s="9"/>
      <c r="I12" s="9"/>
      <c r="J12" s="14"/>
      <c r="K12" s="14">
        <f>2565.2*1.33</f>
      </c>
      <c r="L12" s="15" t="s">
        <v>37</v>
      </c>
      <c r="M12" s="15" t="s">
        <v>38</v>
      </c>
      <c r="N12" s="14"/>
      <c r="O12" s="15" t="s">
        <v>39</v>
      </c>
      <c r="P12" s="14"/>
      <c r="Q12" s="14">
        <v>2024</v>
      </c>
      <c r="R12" s="15" t="s">
        <v>68</v>
      </c>
      <c r="S12" s="7"/>
      <c r="T12" s="7"/>
      <c r="U12" s="7"/>
      <c r="V12" s="15"/>
      <c r="W12" s="4" t="s">
        <v>44</v>
      </c>
      <c r="X12" s="12">
        <f>0.9*$J12</f>
      </c>
      <c r="Y12" s="12">
        <f>1.5*J12</f>
      </c>
      <c r="Z12" s="4" t="s">
        <v>45</v>
      </c>
      <c r="AA12" s="13">
        <f>0.9*K12</f>
      </c>
      <c r="AB12" s="13">
        <f>1.3*K12</f>
      </c>
      <c r="AC12" s="4" t="s">
        <v>45</v>
      </c>
      <c r="AD12" s="13">
        <v>0.1</v>
      </c>
      <c r="AE12" s="11">
        <v>1</v>
      </c>
      <c r="AF12" s="11">
        <v>0</v>
      </c>
      <c r="AG12" s="4" t="s">
        <v>46</v>
      </c>
    </row>
    <row x14ac:dyDescent="0.25" r="13" customHeight="1" ht="15">
      <c r="A13" s="23">
        <v>211.3</v>
      </c>
      <c r="B13" s="6">
        <v>3</v>
      </c>
      <c r="C13" s="7" t="s">
        <v>73</v>
      </c>
      <c r="D13" s="8">
        <f>REPT("   ", B13*2) &amp; C13</f>
      </c>
      <c r="E13" s="7" t="s">
        <v>35</v>
      </c>
      <c r="F13" s="7" t="s">
        <v>36</v>
      </c>
      <c r="G13" s="10">
        <v>1</v>
      </c>
      <c r="H13" s="9"/>
      <c r="I13" s="9"/>
      <c r="J13" s="14"/>
      <c r="K13" s="14">
        <f>22.86*1.4</f>
      </c>
      <c r="L13" s="15" t="s">
        <v>74</v>
      </c>
      <c r="M13" s="15" t="s">
        <v>75</v>
      </c>
      <c r="N13" s="14"/>
      <c r="O13" s="15" t="s">
        <v>76</v>
      </c>
      <c r="P13" s="14"/>
      <c r="Q13" s="14">
        <v>2024</v>
      </c>
      <c r="R13" s="15" t="s">
        <v>68</v>
      </c>
      <c r="S13" s="7"/>
      <c r="T13" s="7"/>
      <c r="U13" s="7"/>
      <c r="V13" s="15"/>
      <c r="W13" s="4" t="s">
        <v>44</v>
      </c>
      <c r="X13" s="12">
        <f>0.9*$J13</f>
      </c>
      <c r="Y13" s="12">
        <f>1.5*J13</f>
      </c>
      <c r="Z13" s="4" t="s">
        <v>45</v>
      </c>
      <c r="AA13" s="13">
        <f>0.9*K13</f>
      </c>
      <c r="AB13" s="13">
        <f>1.3*K13</f>
      </c>
      <c r="AC13" s="4" t="s">
        <v>45</v>
      </c>
      <c r="AD13" s="13">
        <v>0.1</v>
      </c>
      <c r="AE13" s="11">
        <v>1</v>
      </c>
      <c r="AF13" s="11">
        <v>0</v>
      </c>
      <c r="AG13" s="4" t="s">
        <v>46</v>
      </c>
    </row>
    <row x14ac:dyDescent="0.25" r="14" customHeight="1" ht="15">
      <c r="A14" s="23">
        <v>211.4</v>
      </c>
      <c r="B14" s="6">
        <f>IF(ISNUMBER(A14),
IF(AND(A14=INT(A14), MOD(A14, 10) = 0), 0,
IF(AND(A14=INT(A14), LEN(A14)=2), 1,
IF(AND(A14=INT(A14), LEN(A14)=3), 2,
LEN(A14) - FIND(".", A14) + 2)
)
),
"")</f>
      </c>
      <c r="C14" s="7" t="s">
        <v>77</v>
      </c>
      <c r="D14" s="8">
        <f>REPT("   ", B14*2) &amp; C14</f>
      </c>
      <c r="E14" s="7" t="s">
        <v>35</v>
      </c>
      <c r="F14" s="7" t="s">
        <v>36</v>
      </c>
      <c r="G14" s="10">
        <v>1</v>
      </c>
      <c r="H14" s="9"/>
      <c r="I14" s="9"/>
      <c r="J14" s="14"/>
      <c r="K14" s="14"/>
      <c r="L14" s="15"/>
      <c r="M14" s="15"/>
      <c r="N14" s="14"/>
      <c r="O14" s="15"/>
      <c r="P14" s="14"/>
      <c r="Q14" s="14"/>
      <c r="R14" s="15"/>
      <c r="S14" s="7"/>
      <c r="T14" s="7"/>
      <c r="U14" s="24"/>
      <c r="V14" s="15"/>
      <c r="W14" s="4" t="s">
        <v>44</v>
      </c>
      <c r="X14" s="12">
        <f>0.9*$J14</f>
      </c>
      <c r="Y14" s="12">
        <f>1.5*J14</f>
      </c>
      <c r="Z14" s="4" t="s">
        <v>45</v>
      </c>
      <c r="AA14" s="11">
        <f>0.9*K14</f>
      </c>
      <c r="AB14" s="11">
        <f>1.3*K14</f>
      </c>
      <c r="AC14" s="4" t="s">
        <v>45</v>
      </c>
      <c r="AD14" s="13">
        <v>0.1</v>
      </c>
      <c r="AE14" s="11">
        <v>1</v>
      </c>
      <c r="AF14" s="11">
        <v>0</v>
      </c>
      <c r="AG14" s="4" t="s">
        <v>46</v>
      </c>
    </row>
    <row x14ac:dyDescent="0.25" r="15" customHeight="1" ht="39">
      <c r="A15" s="23">
        <v>211.9</v>
      </c>
      <c r="B15" s="6">
        <f>IF(ISNUMBER(A15),
IF(AND(A15=INT(A15), MOD(A15, 10) = 0), 0,
IF(AND(A15=INT(A15), LEN(A15)=2), 1,
IF(AND(A15=INT(A15), LEN(A15)=3), 2,
LEN(A15) - FIND(".", A15) + 2)
)
),
"")</f>
      </c>
      <c r="C15" s="7" t="s">
        <v>78</v>
      </c>
      <c r="D15" s="8">
        <f>REPT("   ", B15*2) &amp; C15</f>
      </c>
      <c r="E15" s="7" t="s">
        <v>35</v>
      </c>
      <c r="F15" s="7" t="s">
        <v>36</v>
      </c>
      <c r="G15" s="10">
        <v>1</v>
      </c>
      <c r="H15" s="9"/>
      <c r="I15" s="9"/>
      <c r="J15" s="14"/>
      <c r="K15" s="14">
        <f>75/0.3048</f>
      </c>
      <c r="L15" s="15" t="s">
        <v>79</v>
      </c>
      <c r="M15" s="15" t="s">
        <v>80</v>
      </c>
      <c r="N15" s="14"/>
      <c r="O15" s="15"/>
      <c r="P15" s="14"/>
      <c r="Q15" s="14">
        <v>2009</v>
      </c>
      <c r="R15" s="15" t="s">
        <v>68</v>
      </c>
      <c r="S15" s="7" t="s">
        <v>81</v>
      </c>
      <c r="T15" s="7" t="s">
        <v>82</v>
      </c>
      <c r="U15" s="25" t="s">
        <v>83</v>
      </c>
      <c r="V15" s="15"/>
      <c r="W15" s="4" t="s">
        <v>44</v>
      </c>
      <c r="X15" s="12">
        <f>0.9*$J15</f>
      </c>
      <c r="Y15" s="12">
        <f>1.5*J15</f>
      </c>
      <c r="Z15" s="4" t="s">
        <v>45</v>
      </c>
      <c r="AA15" s="13">
        <f>0.9*K15</f>
      </c>
      <c r="AB15" s="13">
        <f>1.3*K15</f>
      </c>
      <c r="AC15" s="4" t="s">
        <v>45</v>
      </c>
      <c r="AD15" s="13">
        <v>0.1</v>
      </c>
      <c r="AE15" s="11">
        <v>1</v>
      </c>
      <c r="AF15" s="11">
        <v>0</v>
      </c>
      <c r="AG15" s="4" t="s">
        <v>46</v>
      </c>
    </row>
    <row x14ac:dyDescent="0.25" r="16" customHeight="1" ht="15">
      <c r="A16" s="20">
        <v>213</v>
      </c>
      <c r="B16" s="6">
        <f>IF(ISNUMBER(A16),
IF(AND(A16=INT(A16), MOD(A16, 10) = 0), 0,
IF(AND(A16=INT(A16), LEN(A16)=2), 1,
IF(AND(A16=INT(A16), LEN(A16)=3), 2,
LEN(A16) - FIND(".", A16) + 2)
)
),
"")</f>
      </c>
      <c r="C16" s="7" t="s">
        <v>84</v>
      </c>
      <c r="D16" s="8">
        <f>REPT("   ", B16*2) &amp; C16</f>
      </c>
      <c r="E16" s="9"/>
      <c r="F16" s="9"/>
      <c r="G16" s="10"/>
      <c r="H16" s="9"/>
      <c r="I16" s="9"/>
      <c r="J16" s="14"/>
      <c r="K16" s="14"/>
      <c r="L16" s="14"/>
      <c r="M16" s="19"/>
      <c r="N16" s="14"/>
      <c r="O16" s="14"/>
      <c r="P16" s="14"/>
      <c r="Q16" s="14"/>
      <c r="R16" s="14"/>
      <c r="S16" s="19"/>
      <c r="T16" s="7"/>
      <c r="U16" s="24"/>
      <c r="V16" s="15"/>
      <c r="W16" s="4"/>
      <c r="X16" s="12"/>
      <c r="Y16" s="12"/>
      <c r="Z16" s="4"/>
      <c r="AA16" s="11"/>
      <c r="AB16" s="11"/>
      <c r="AC16" s="4"/>
      <c r="AD16" s="13"/>
      <c r="AE16" s="11"/>
      <c r="AF16" s="11"/>
      <c r="AG16" s="4"/>
    </row>
    <row x14ac:dyDescent="0.25" r="17" customHeight="1" ht="15">
      <c r="A17" s="23">
        <v>213.1</v>
      </c>
      <c r="B17" s="6">
        <f>IF(ISNUMBER(A17),
IF(AND(A17=INT(A17), MOD(A17, 10) = 0), 0,
IF(AND(A17=INT(A17), LEN(A17)=2), 1,
IF(AND(A17=INT(A17), LEN(A17)=3), 2,
LEN(A17) - FIND(".", A17) + 2)
)
),
"")</f>
      </c>
      <c r="C17" s="7" t="s">
        <v>85</v>
      </c>
      <c r="D17" s="8">
        <f>REPT("   ", B17*2) &amp; C17</f>
      </c>
      <c r="E17" s="9"/>
      <c r="F17" s="9"/>
      <c r="G17" s="10"/>
      <c r="H17" s="9"/>
      <c r="I17" s="9"/>
      <c r="J17" s="14"/>
      <c r="K17" s="14"/>
      <c r="L17" s="14"/>
      <c r="M17" s="19"/>
      <c r="N17" s="14"/>
      <c r="O17" s="14"/>
      <c r="P17" s="14"/>
      <c r="Q17" s="14"/>
      <c r="R17" s="14"/>
      <c r="S17" s="19"/>
      <c r="T17" s="7"/>
      <c r="U17" s="24"/>
      <c r="V17" s="15"/>
      <c r="W17" s="4"/>
      <c r="X17" s="12"/>
      <c r="Y17" s="12"/>
      <c r="Z17" s="4"/>
      <c r="AA17" s="11"/>
      <c r="AB17" s="11"/>
      <c r="AC17" s="4"/>
      <c r="AD17" s="13"/>
      <c r="AE17" s="11"/>
      <c r="AF17" s="11"/>
      <c r="AG17" s="4"/>
    </row>
    <row x14ac:dyDescent="0.25" r="18" customHeight="1" ht="40.5">
      <c r="A18" s="23">
        <v>213.11</v>
      </c>
      <c r="B18" s="6">
        <f>IF(ISNUMBER(A18),
IF(AND(A18=INT(A18), MOD(A18, 10) = 0), 0,
IF(AND(A18=INT(A18), LEN(A18)=2), 1,
IF(AND(A18=INT(A18), LEN(A18)=3), 2,
LEN(A18) - FIND(".", A18) + 2)
)
),
"")</f>
      </c>
      <c r="C18" s="8">
        <f>_xlfn.CONCAT(C17," Roof")</f>
      </c>
      <c r="D18" s="8">
        <f>REPT("   ", B18*2) &amp; C18</f>
      </c>
      <c r="E18" s="7" t="s">
        <v>35</v>
      </c>
      <c r="F18" s="7" t="s">
        <v>36</v>
      </c>
      <c r="G18" s="10">
        <v>1</v>
      </c>
      <c r="H18" s="9"/>
      <c r="I18" s="9"/>
      <c r="J18" s="14"/>
      <c r="K18" s="14">
        <f>1200</f>
      </c>
      <c r="L18" s="15" t="s">
        <v>74</v>
      </c>
      <c r="M18" s="8">
        <f>_xlfn.CONCAT(C18, " Volume")</f>
      </c>
      <c r="N18" s="14"/>
      <c r="O18" s="15" t="s">
        <v>76</v>
      </c>
      <c r="P18" s="14"/>
      <c r="Q18" s="14">
        <v>2024</v>
      </c>
      <c r="R18" s="15" t="s">
        <v>86</v>
      </c>
      <c r="S18" s="16" t="s">
        <v>87</v>
      </c>
      <c r="T18" s="16" t="s">
        <v>70</v>
      </c>
      <c r="U18" s="22" t="s">
        <v>71</v>
      </c>
      <c r="V18" s="15"/>
      <c r="W18" s="4" t="s">
        <v>44</v>
      </c>
      <c r="X18" s="12">
        <f>0.9*$I18</f>
      </c>
      <c r="Y18" s="12">
        <f>1.5*J18</f>
      </c>
      <c r="Z18" s="4" t="s">
        <v>45</v>
      </c>
      <c r="AA18" s="11">
        <f>0.9*K18</f>
      </c>
      <c r="AB18" s="11">
        <f>1.3*K18</f>
      </c>
      <c r="AC18" s="4" t="s">
        <v>45</v>
      </c>
      <c r="AD18" s="13">
        <v>0.1</v>
      </c>
      <c r="AE18" s="11">
        <v>1</v>
      </c>
      <c r="AF18" s="11">
        <v>0</v>
      </c>
      <c r="AG18" s="4" t="s">
        <v>46</v>
      </c>
    </row>
    <row x14ac:dyDescent="0.25" r="19" customHeight="1" ht="40.5">
      <c r="A19" s="23">
        <v>213.12</v>
      </c>
      <c r="B19" s="6">
        <f>IF(ISNUMBER(A19),
IF(AND(A19=INT(A19), MOD(A19, 10) = 0), 0,
IF(AND(A19=INT(A19), LEN(A19)=2), 1,
IF(AND(A19=INT(A19), LEN(A19)=3), 2,
LEN(A19) - FIND(".", A19) + 2)
)
),
"")</f>
      </c>
      <c r="C19" s="8">
        <f>_xlfn.CONCAT(C17," Basement")</f>
      </c>
      <c r="D19" s="8">
        <f>REPT("   ", B19*2) &amp; C19</f>
      </c>
      <c r="E19" s="7" t="s">
        <v>35</v>
      </c>
      <c r="F19" s="7" t="s">
        <v>36</v>
      </c>
      <c r="G19" s="10">
        <v>1</v>
      </c>
      <c r="H19" s="9"/>
      <c r="I19" s="9"/>
      <c r="J19" s="14"/>
      <c r="K19" s="14">
        <f>943.9</f>
      </c>
      <c r="L19" s="15" t="s">
        <v>74</v>
      </c>
      <c r="M19" s="8">
        <f>_xlfn.CONCAT(C19, " Volume")</f>
      </c>
      <c r="N19" s="14"/>
      <c r="O19" s="15" t="s">
        <v>76</v>
      </c>
      <c r="P19" s="14"/>
      <c r="Q19" s="14">
        <v>2024</v>
      </c>
      <c r="R19" s="15" t="s">
        <v>86</v>
      </c>
      <c r="S19" s="7"/>
      <c r="T19" s="7"/>
      <c r="U19" s="7"/>
      <c r="V19" s="15"/>
      <c r="W19" s="4" t="s">
        <v>44</v>
      </c>
      <c r="X19" s="12">
        <f>0.9*$I19</f>
      </c>
      <c r="Y19" s="12">
        <f>1.5*J19</f>
      </c>
      <c r="Z19" s="4" t="s">
        <v>45</v>
      </c>
      <c r="AA19" s="13">
        <f>0.9*K19</f>
      </c>
      <c r="AB19" s="13">
        <f>1.3*K19</f>
      </c>
      <c r="AC19" s="4" t="s">
        <v>45</v>
      </c>
      <c r="AD19" s="13">
        <v>0.1</v>
      </c>
      <c r="AE19" s="11">
        <v>1</v>
      </c>
      <c r="AF19" s="11">
        <v>0</v>
      </c>
      <c r="AG19" s="4" t="s">
        <v>46</v>
      </c>
    </row>
    <row x14ac:dyDescent="0.25" r="20" customHeight="1" ht="40.5">
      <c r="A20" s="23">
        <v>213.13</v>
      </c>
      <c r="B20" s="6">
        <f>IF(ISNUMBER(A20),
IF(AND(A20=INT(A20), MOD(A20, 10) = 0), 0,
IF(AND(A20=INT(A20), LEN(A20)=2), 1,
IF(AND(A20=INT(A20), LEN(A20)=3), 2,
LEN(A20) - FIND(".", A20) + 2)
)
),
"")</f>
      </c>
      <c r="C20" s="8">
        <f>_xlfn.CONCAT(C17," Walls")</f>
      </c>
      <c r="D20" s="8">
        <f>REPT("   ", B20*2) &amp; C20</f>
      </c>
      <c r="E20" s="7" t="s">
        <v>35</v>
      </c>
      <c r="F20" s="7" t="s">
        <v>36</v>
      </c>
      <c r="G20" s="10">
        <v>1</v>
      </c>
      <c r="H20" s="9"/>
      <c r="I20" s="9"/>
      <c r="J20" s="14"/>
      <c r="K20" s="14">
        <f>721.21</f>
      </c>
      <c r="L20" s="15" t="s">
        <v>74</v>
      </c>
      <c r="M20" s="8">
        <f>_xlfn.CONCAT(C20, " Volume")</f>
      </c>
      <c r="N20" s="14"/>
      <c r="O20" s="15" t="s">
        <v>76</v>
      </c>
      <c r="P20" s="14"/>
      <c r="Q20" s="14">
        <v>2024</v>
      </c>
      <c r="R20" s="15" t="s">
        <v>86</v>
      </c>
      <c r="S20" s="7"/>
      <c r="T20" s="7"/>
      <c r="U20" s="7"/>
      <c r="V20" s="15"/>
      <c r="W20" s="4" t="s">
        <v>44</v>
      </c>
      <c r="X20" s="12">
        <f>0.9*$I20</f>
      </c>
      <c r="Y20" s="12">
        <f>1.5*J20</f>
      </c>
      <c r="Z20" s="4" t="s">
        <v>45</v>
      </c>
      <c r="AA20" s="13">
        <f>0.9*K20</f>
      </c>
      <c r="AB20" s="13">
        <f>1.3*K20</f>
      </c>
      <c r="AC20" s="4" t="s">
        <v>45</v>
      </c>
      <c r="AD20" s="13">
        <v>0.1</v>
      </c>
      <c r="AE20" s="11">
        <v>1</v>
      </c>
      <c r="AF20" s="11">
        <v>0</v>
      </c>
      <c r="AG20" s="4" t="s">
        <v>46</v>
      </c>
    </row>
    <row x14ac:dyDescent="0.25" r="21" customHeight="1" ht="27">
      <c r="A21" s="23">
        <v>213.19</v>
      </c>
      <c r="B21" s="6">
        <f>IF(ISNUMBER(A21),
IF(AND(A21=INT(A21), MOD(A21, 10) = 0), 0,
IF(AND(A21=INT(A21), LEN(A21)=2), 1,
IF(AND(A21=INT(A21), LEN(A21)=3), 2,
LEN(A21) - FIND(".", A21) + 2)
)
),
"")</f>
      </c>
      <c r="C21" s="7" t="s">
        <v>88</v>
      </c>
      <c r="D21" s="8">
        <f>REPT("   ", B21*2) &amp; C21</f>
      </c>
      <c r="E21" s="7" t="s">
        <v>35</v>
      </c>
      <c r="F21" s="7" t="s">
        <v>36</v>
      </c>
      <c r="G21" s="10">
        <v>1</v>
      </c>
      <c r="H21" s="9"/>
      <c r="I21" s="9"/>
      <c r="J21" s="14"/>
      <c r="K21" s="14"/>
      <c r="L21" s="15" t="s">
        <v>74</v>
      </c>
      <c r="M21" s="8">
        <f>_xlfn.CONCAT(C17, " Volume")</f>
      </c>
      <c r="N21" s="14"/>
      <c r="O21" s="15" t="s">
        <v>76</v>
      </c>
      <c r="P21" s="14"/>
      <c r="Q21" s="14"/>
      <c r="R21" s="15"/>
      <c r="S21" s="7"/>
      <c r="T21" s="7"/>
      <c r="U21" s="24"/>
      <c r="V21" s="15"/>
      <c r="W21" s="4" t="s">
        <v>44</v>
      </c>
      <c r="X21" s="12">
        <f>0.9*$I21</f>
      </c>
      <c r="Y21" s="12">
        <f>1.5*J21</f>
      </c>
      <c r="Z21" s="4" t="s">
        <v>45</v>
      </c>
      <c r="AA21" s="11">
        <f>0.9*K21</f>
      </c>
      <c r="AB21" s="11">
        <f>1.3*K21</f>
      </c>
      <c r="AC21" s="4" t="s">
        <v>45</v>
      </c>
      <c r="AD21" s="13">
        <v>0.1</v>
      </c>
      <c r="AE21" s="11">
        <v>1</v>
      </c>
      <c r="AF21" s="11">
        <v>0</v>
      </c>
      <c r="AG21" s="4" t="s">
        <v>46</v>
      </c>
    </row>
    <row x14ac:dyDescent="0.25" r="22" customHeight="1" ht="15">
      <c r="A22" s="23">
        <v>213.2</v>
      </c>
      <c r="B22" s="6">
        <f>IF(ISNUMBER(A22),
IF(AND(A22=INT(A22), MOD(A22, 10) = 0), 0,
IF(AND(A22=INT(A22), LEN(A22)=2), 1,
IF(AND(A22=INT(A22), LEN(A22)=3), 2,
LEN(A22) - FIND(".", A22) + 2)
)
),
"")</f>
      </c>
      <c r="C22" s="7" t="s">
        <v>89</v>
      </c>
      <c r="D22" s="8">
        <f>REPT("   ", B22*2) &amp; C22</f>
      </c>
      <c r="E22" s="9"/>
      <c r="F22" s="9"/>
      <c r="G22" s="10"/>
      <c r="H22" s="9"/>
      <c r="I22" s="9"/>
      <c r="J22" s="14"/>
      <c r="K22" s="14"/>
      <c r="L22" s="14"/>
      <c r="M22" s="19"/>
      <c r="N22" s="14"/>
      <c r="O22" s="14"/>
      <c r="P22" s="14"/>
      <c r="Q22" s="14"/>
      <c r="R22" s="14"/>
      <c r="S22" s="19"/>
      <c r="T22" s="7"/>
      <c r="U22" s="24"/>
      <c r="V22" s="15"/>
      <c r="W22" s="4"/>
      <c r="X22" s="12"/>
      <c r="Y22" s="12"/>
      <c r="Z22" s="4"/>
      <c r="AA22" s="11"/>
      <c r="AB22" s="11"/>
      <c r="AC22" s="4"/>
      <c r="AD22" s="13"/>
      <c r="AE22" s="11"/>
      <c r="AF22" s="11"/>
      <c r="AG22" s="4"/>
    </row>
    <row x14ac:dyDescent="0.25" r="23" customHeight="1" ht="54">
      <c r="A23" s="23">
        <v>213.21</v>
      </c>
      <c r="B23" s="6">
        <f>IF(ISNUMBER(A23),
IF(AND(A23=INT(A23), MOD(A23, 10) = 0), 0,
IF(AND(A23=INT(A23), LEN(A23)=2), 1,
IF(AND(A23=INT(A23), LEN(A23)=3), 2,
LEN(A23) - FIND(".", A23) + 2)
)
),
"")</f>
      </c>
      <c r="C23" s="8">
        <f>_xlfn.CONCAT(C22," Roof")</f>
      </c>
      <c r="D23" s="8">
        <f>REPT("   ", B23*2) &amp; C23</f>
      </c>
      <c r="E23" s="7" t="s">
        <v>35</v>
      </c>
      <c r="F23" s="7" t="s">
        <v>36</v>
      </c>
      <c r="G23" s="10">
        <v>1</v>
      </c>
      <c r="H23" s="9"/>
      <c r="I23" s="9"/>
      <c r="J23" s="14"/>
      <c r="K23" s="14">
        <f>1200</f>
      </c>
      <c r="L23" s="15" t="s">
        <v>74</v>
      </c>
      <c r="M23" s="8">
        <f>_xlfn.CONCAT(C23, " Volume")</f>
      </c>
      <c r="N23" s="14"/>
      <c r="O23" s="15" t="s">
        <v>76</v>
      </c>
      <c r="P23" s="14"/>
      <c r="Q23" s="14">
        <v>2024</v>
      </c>
      <c r="R23" s="15" t="s">
        <v>86</v>
      </c>
      <c r="S23" s="16" t="s">
        <v>87</v>
      </c>
      <c r="T23" s="16" t="s">
        <v>70</v>
      </c>
      <c r="U23" s="22" t="s">
        <v>71</v>
      </c>
      <c r="V23" s="15"/>
      <c r="W23" s="4" t="s">
        <v>44</v>
      </c>
      <c r="X23" s="12">
        <f>0.9*$I23</f>
      </c>
      <c r="Y23" s="12">
        <f>1.5*J23</f>
      </c>
      <c r="Z23" s="4" t="s">
        <v>45</v>
      </c>
      <c r="AA23" s="11">
        <f>0.9*K23</f>
      </c>
      <c r="AB23" s="11">
        <f>1.3*K23</f>
      </c>
      <c r="AC23" s="4" t="s">
        <v>45</v>
      </c>
      <c r="AD23" s="13">
        <v>0.1</v>
      </c>
      <c r="AE23" s="11">
        <v>1</v>
      </c>
      <c r="AF23" s="11">
        <v>0</v>
      </c>
      <c r="AG23" s="4" t="s">
        <v>46</v>
      </c>
    </row>
    <row x14ac:dyDescent="0.25" r="24" customHeight="1" ht="54">
      <c r="A24" s="23">
        <v>213.22</v>
      </c>
      <c r="B24" s="6">
        <f>IF(ISNUMBER(A24),
IF(AND(A24=INT(A24), MOD(A24, 10) = 0), 0,
IF(AND(A24=INT(A24), LEN(A24)=2), 1,
IF(AND(A24=INT(A24), LEN(A24)=3), 2,
LEN(A24) - FIND(".", A24) + 2)
)
),
"")</f>
      </c>
      <c r="C24" s="8">
        <f>_xlfn.CONCAT(C22," Basement")</f>
      </c>
      <c r="D24" s="8">
        <f>REPT("   ", B24*2) &amp; C24</f>
      </c>
      <c r="E24" s="7" t="s">
        <v>35</v>
      </c>
      <c r="F24" s="7" t="s">
        <v>36</v>
      </c>
      <c r="G24" s="10">
        <v>1</v>
      </c>
      <c r="H24" s="9"/>
      <c r="I24" s="9"/>
      <c r="J24" s="14"/>
      <c r="K24" s="14">
        <f>943.9</f>
      </c>
      <c r="L24" s="15" t="s">
        <v>74</v>
      </c>
      <c r="M24" s="8">
        <f>_xlfn.CONCAT(C24, " Volume")</f>
      </c>
      <c r="N24" s="14"/>
      <c r="O24" s="15" t="s">
        <v>76</v>
      </c>
      <c r="P24" s="14"/>
      <c r="Q24" s="14">
        <v>2024</v>
      </c>
      <c r="R24" s="15" t="s">
        <v>86</v>
      </c>
      <c r="S24" s="7"/>
      <c r="T24" s="7"/>
      <c r="U24" s="7"/>
      <c r="V24" s="15"/>
      <c r="W24" s="4" t="s">
        <v>44</v>
      </c>
      <c r="X24" s="12">
        <f>0.9*$I24</f>
      </c>
      <c r="Y24" s="12">
        <f>1.5*J24</f>
      </c>
      <c r="Z24" s="4" t="s">
        <v>45</v>
      </c>
      <c r="AA24" s="13">
        <f>0.9*K24</f>
      </c>
      <c r="AB24" s="13">
        <f>1.3*K24</f>
      </c>
      <c r="AC24" s="4" t="s">
        <v>45</v>
      </c>
      <c r="AD24" s="13">
        <v>0.1</v>
      </c>
      <c r="AE24" s="11">
        <v>1</v>
      </c>
      <c r="AF24" s="11">
        <v>0</v>
      </c>
      <c r="AG24" s="4" t="s">
        <v>46</v>
      </c>
    </row>
    <row x14ac:dyDescent="0.25" r="25" customHeight="1" ht="54">
      <c r="A25" s="23">
        <v>213.23</v>
      </c>
      <c r="B25" s="6">
        <f>IF(ISNUMBER(A25),
IF(AND(A25=INT(A25), MOD(A25, 10) = 0), 0,
IF(AND(A25=INT(A25), LEN(A25)=2), 1,
IF(AND(A25=INT(A25), LEN(A25)=3), 2,
LEN(A25) - FIND(".", A25) + 2)
)
),
"")</f>
      </c>
      <c r="C25" s="8">
        <f>_xlfn.CONCAT(C22," Walls")</f>
      </c>
      <c r="D25" s="8">
        <f>REPT("   ", B25*2) &amp; C25</f>
      </c>
      <c r="E25" s="7" t="s">
        <v>35</v>
      </c>
      <c r="F25" s="7" t="s">
        <v>36</v>
      </c>
      <c r="G25" s="10">
        <v>1</v>
      </c>
      <c r="H25" s="9"/>
      <c r="I25" s="9"/>
      <c r="J25" s="14"/>
      <c r="K25" s="14">
        <f>721.21</f>
      </c>
      <c r="L25" s="15" t="s">
        <v>74</v>
      </c>
      <c r="M25" s="8">
        <f>_xlfn.CONCAT(C25, " Volume")</f>
      </c>
      <c r="N25" s="14"/>
      <c r="O25" s="15" t="s">
        <v>76</v>
      </c>
      <c r="P25" s="14"/>
      <c r="Q25" s="14">
        <v>2024</v>
      </c>
      <c r="R25" s="15" t="s">
        <v>86</v>
      </c>
      <c r="S25" s="7"/>
      <c r="T25" s="7"/>
      <c r="U25" s="7"/>
      <c r="V25" s="15"/>
      <c r="W25" s="4" t="s">
        <v>44</v>
      </c>
      <c r="X25" s="12">
        <f>0.9*$I25</f>
      </c>
      <c r="Y25" s="12">
        <f>1.5*J25</f>
      </c>
      <c r="Z25" s="4" t="s">
        <v>45</v>
      </c>
      <c r="AA25" s="13">
        <f>0.9*K25</f>
      </c>
      <c r="AB25" s="13">
        <f>1.3*K25</f>
      </c>
      <c r="AC25" s="4" t="s">
        <v>45</v>
      </c>
      <c r="AD25" s="13">
        <v>0.1</v>
      </c>
      <c r="AE25" s="11">
        <v>1</v>
      </c>
      <c r="AF25" s="11">
        <v>0</v>
      </c>
      <c r="AG25" s="4" t="s">
        <v>46</v>
      </c>
    </row>
    <row x14ac:dyDescent="0.25" r="26" customHeight="1" ht="40.5">
      <c r="A26" s="23">
        <v>213.29</v>
      </c>
      <c r="B26" s="6">
        <f>IF(ISNUMBER(A26),
IF(AND(A26=INT(A26), MOD(A26, 10) = 0), 0,
IF(AND(A26=INT(A26), LEN(A26)=2), 1,
IF(AND(A26=INT(A26), LEN(A26)=3), 2,
LEN(A26) - FIND(".", A26) + 2)
)
),
"")</f>
      </c>
      <c r="C26" s="7" t="s">
        <v>88</v>
      </c>
      <c r="D26" s="8">
        <f>REPT("   ", B26*2) &amp; C26</f>
      </c>
      <c r="E26" s="7" t="s">
        <v>35</v>
      </c>
      <c r="F26" s="7" t="s">
        <v>36</v>
      </c>
      <c r="G26" s="10">
        <v>1</v>
      </c>
      <c r="H26" s="9"/>
      <c r="I26" s="9"/>
      <c r="J26" s="14"/>
      <c r="K26" s="14"/>
      <c r="L26" s="15" t="s">
        <v>74</v>
      </c>
      <c r="M26" s="8">
        <f>_xlfn.CONCAT(C22, " Volume")</f>
      </c>
      <c r="N26" s="14"/>
      <c r="O26" s="15" t="s">
        <v>76</v>
      </c>
      <c r="P26" s="14"/>
      <c r="Q26" s="14"/>
      <c r="R26" s="15"/>
      <c r="S26" s="7"/>
      <c r="T26" s="7"/>
      <c r="U26" s="24"/>
      <c r="V26" s="15"/>
      <c r="W26" s="4" t="s">
        <v>44</v>
      </c>
      <c r="X26" s="12">
        <f>0.9*$I26</f>
      </c>
      <c r="Y26" s="12">
        <f>1.5*J26</f>
      </c>
      <c r="Z26" s="4" t="s">
        <v>45</v>
      </c>
      <c r="AA26" s="11">
        <f>0.9*K26</f>
      </c>
      <c r="AB26" s="11">
        <f>1.3*K26</f>
      </c>
      <c r="AC26" s="4" t="s">
        <v>45</v>
      </c>
      <c r="AD26" s="13">
        <v>0.1</v>
      </c>
      <c r="AE26" s="11">
        <v>1</v>
      </c>
      <c r="AF26" s="11">
        <v>0</v>
      </c>
      <c r="AG26" s="4" t="s">
        <v>46</v>
      </c>
    </row>
    <row x14ac:dyDescent="0.25" r="27" customHeight="1" ht="25.5">
      <c r="A27" s="23">
        <v>213.6</v>
      </c>
      <c r="B27" s="6">
        <f>IF(ISNUMBER(A27),
IF(AND(A27=INT(A27), MOD(A27, 10) = 0), 0,
IF(AND(A27=INT(A27), LEN(A27)=2), 1,
IF(AND(A27=INT(A27), LEN(A27)=3), 2,
LEN(A27) - FIND(".", A27) + 2)
)
),
"")</f>
      </c>
      <c r="C27" s="7" t="s">
        <v>90</v>
      </c>
      <c r="D27" s="8">
        <f>REPT("   ", B27*2) &amp; C27</f>
      </c>
      <c r="E27" s="9"/>
      <c r="F27" s="9"/>
      <c r="G27" s="10"/>
      <c r="H27" s="9"/>
      <c r="I27" s="9"/>
      <c r="J27" s="14"/>
      <c r="K27" s="14"/>
      <c r="L27" s="15"/>
      <c r="M27" s="7"/>
      <c r="N27" s="14"/>
      <c r="O27" s="15"/>
      <c r="P27" s="14"/>
      <c r="Q27" s="14"/>
      <c r="R27" s="15"/>
      <c r="S27" s="7"/>
      <c r="T27" s="7"/>
      <c r="U27" s="24"/>
      <c r="V27" s="15"/>
      <c r="W27" s="4"/>
      <c r="X27" s="12"/>
      <c r="Y27" s="12"/>
      <c r="Z27" s="4"/>
      <c r="AA27" s="11"/>
      <c r="AB27" s="11"/>
      <c r="AC27" s="4"/>
      <c r="AD27" s="13"/>
      <c r="AE27" s="11"/>
      <c r="AF27" s="11"/>
      <c r="AG27" s="4"/>
    </row>
    <row x14ac:dyDescent="0.25" r="28" customHeight="1" ht="67.5">
      <c r="A28" s="23">
        <v>213.61</v>
      </c>
      <c r="B28" s="6">
        <f>IF(ISNUMBER(A28),
IF(AND(A28=INT(A28), MOD(A28, 10) = 0), 0,
IF(AND(A28=INT(A28), LEN(A28)=2), 1,
IF(AND(A28=INT(A28), LEN(A28)=3), 2,
LEN(A28) - FIND(".", A28) + 2)
)
),
"")</f>
      </c>
      <c r="C28" s="8">
        <f>_xlfn.CONCAT(C27," Roof")</f>
      </c>
      <c r="D28" s="8">
        <f>REPT("   ", B28*2) &amp; C28</f>
      </c>
      <c r="E28" s="7" t="s">
        <v>35</v>
      </c>
      <c r="F28" s="7" t="s">
        <v>36</v>
      </c>
      <c r="G28" s="10">
        <v>1</v>
      </c>
      <c r="H28" s="9"/>
      <c r="I28" s="9"/>
      <c r="J28" s="14"/>
      <c r="K28" s="14">
        <f>1200</f>
      </c>
      <c r="L28" s="15" t="s">
        <v>74</v>
      </c>
      <c r="M28" s="8">
        <f>_xlfn.CONCAT(C28, " Volume")</f>
      </c>
      <c r="N28" s="14"/>
      <c r="O28" s="15" t="s">
        <v>76</v>
      </c>
      <c r="P28" s="14"/>
      <c r="Q28" s="14">
        <v>2024</v>
      </c>
      <c r="R28" s="15" t="s">
        <v>86</v>
      </c>
      <c r="S28" s="16" t="s">
        <v>87</v>
      </c>
      <c r="T28" s="16" t="s">
        <v>70</v>
      </c>
      <c r="U28" s="22" t="s">
        <v>71</v>
      </c>
      <c r="V28" s="15"/>
      <c r="W28" s="4" t="s">
        <v>44</v>
      </c>
      <c r="X28" s="12">
        <f>0.9*$I28</f>
      </c>
      <c r="Y28" s="12">
        <f>1.5*J28</f>
      </c>
      <c r="Z28" s="4" t="s">
        <v>45</v>
      </c>
      <c r="AA28" s="11">
        <f>0.9*K28</f>
      </c>
      <c r="AB28" s="11">
        <f>1.3*K28</f>
      </c>
      <c r="AC28" s="4" t="s">
        <v>45</v>
      </c>
      <c r="AD28" s="13">
        <v>0.1</v>
      </c>
      <c r="AE28" s="11">
        <v>1</v>
      </c>
      <c r="AF28" s="11">
        <v>0</v>
      </c>
      <c r="AG28" s="4" t="s">
        <v>46</v>
      </c>
    </row>
    <row x14ac:dyDescent="0.25" r="29" customHeight="1" ht="67.5">
      <c r="A29" s="23">
        <v>213.62</v>
      </c>
      <c r="B29" s="6">
        <f>IF(ISNUMBER(A29),
IF(AND(A29=INT(A29), MOD(A29, 10) = 0), 0,
IF(AND(A29=INT(A29), LEN(A29)=2), 1,
IF(AND(A29=INT(A29), LEN(A29)=3), 2,
LEN(A29) - FIND(".", A29) + 2)
)
),
"")</f>
      </c>
      <c r="C29" s="8">
        <f>_xlfn.CONCAT(C27," Basement")</f>
      </c>
      <c r="D29" s="8">
        <f>REPT("   ", B29*2) &amp; C29</f>
      </c>
      <c r="E29" s="7" t="s">
        <v>35</v>
      </c>
      <c r="F29" s="7" t="s">
        <v>36</v>
      </c>
      <c r="G29" s="10">
        <v>1</v>
      </c>
      <c r="H29" s="9"/>
      <c r="I29" s="9"/>
      <c r="J29" s="14"/>
      <c r="K29" s="14">
        <f>943.9</f>
      </c>
      <c r="L29" s="15" t="s">
        <v>74</v>
      </c>
      <c r="M29" s="8">
        <f>_xlfn.CONCAT(C29, " Volume")</f>
      </c>
      <c r="N29" s="14"/>
      <c r="O29" s="15" t="s">
        <v>76</v>
      </c>
      <c r="P29" s="14"/>
      <c r="Q29" s="14">
        <v>2024</v>
      </c>
      <c r="R29" s="15" t="s">
        <v>86</v>
      </c>
      <c r="S29" s="7"/>
      <c r="T29" s="7"/>
      <c r="U29" s="7"/>
      <c r="V29" s="15"/>
      <c r="W29" s="4" t="s">
        <v>44</v>
      </c>
      <c r="X29" s="12">
        <f>0.9*$I29</f>
      </c>
      <c r="Y29" s="12">
        <f>1.5*J29</f>
      </c>
      <c r="Z29" s="4" t="s">
        <v>45</v>
      </c>
      <c r="AA29" s="13">
        <f>0.9*K29</f>
      </c>
      <c r="AB29" s="13">
        <f>1.3*K29</f>
      </c>
      <c r="AC29" s="4" t="s">
        <v>45</v>
      </c>
      <c r="AD29" s="13">
        <v>0.1</v>
      </c>
      <c r="AE29" s="11">
        <v>1</v>
      </c>
      <c r="AF29" s="11">
        <v>0</v>
      </c>
      <c r="AG29" s="4" t="s">
        <v>46</v>
      </c>
    </row>
    <row x14ac:dyDescent="0.25" r="30" customHeight="1" ht="67.5">
      <c r="A30" s="23">
        <v>213.63</v>
      </c>
      <c r="B30" s="6">
        <f>IF(ISNUMBER(A30),
IF(AND(A30=INT(A30), MOD(A30, 10) = 0), 0,
IF(AND(A30=INT(A30), LEN(A30)=2), 1,
IF(AND(A30=INT(A30), LEN(A30)=3), 2,
LEN(A30) - FIND(".", A30) + 2)
)
),
"")</f>
      </c>
      <c r="C30" s="8">
        <f>_xlfn.CONCAT(C27," Walls")</f>
      </c>
      <c r="D30" s="8">
        <f>REPT("   ", B30*2) &amp; C30</f>
      </c>
      <c r="E30" s="7" t="s">
        <v>35</v>
      </c>
      <c r="F30" s="7" t="s">
        <v>36</v>
      </c>
      <c r="G30" s="10">
        <v>1</v>
      </c>
      <c r="H30" s="9"/>
      <c r="I30" s="9"/>
      <c r="J30" s="14"/>
      <c r="K30" s="14">
        <f>721.21</f>
      </c>
      <c r="L30" s="15" t="s">
        <v>74</v>
      </c>
      <c r="M30" s="8">
        <f>_xlfn.CONCAT(C30, " Volume")</f>
      </c>
      <c r="N30" s="14"/>
      <c r="O30" s="15" t="s">
        <v>76</v>
      </c>
      <c r="P30" s="14"/>
      <c r="Q30" s="14">
        <v>2024</v>
      </c>
      <c r="R30" s="15" t="s">
        <v>86</v>
      </c>
      <c r="S30" s="7"/>
      <c r="T30" s="7"/>
      <c r="U30" s="7"/>
      <c r="V30" s="15"/>
      <c r="W30" s="4" t="s">
        <v>44</v>
      </c>
      <c r="X30" s="12">
        <f>0.9*$I30</f>
      </c>
      <c r="Y30" s="12">
        <f>1.5*J30</f>
      </c>
      <c r="Z30" s="4" t="s">
        <v>45</v>
      </c>
      <c r="AA30" s="13">
        <f>0.9*K30</f>
      </c>
      <c r="AB30" s="13">
        <f>1.3*K30</f>
      </c>
      <c r="AC30" s="4" t="s">
        <v>45</v>
      </c>
      <c r="AD30" s="13">
        <v>0.1</v>
      </c>
      <c r="AE30" s="11">
        <v>1</v>
      </c>
      <c r="AF30" s="11">
        <v>0</v>
      </c>
      <c r="AG30" s="4" t="s">
        <v>46</v>
      </c>
    </row>
    <row x14ac:dyDescent="0.25" r="31" customHeight="1" ht="67.5">
      <c r="A31" s="23">
        <v>213.69</v>
      </c>
      <c r="B31" s="6">
        <f>IF(ISNUMBER(A31),
IF(AND(A31=INT(A31), MOD(A31, 10) = 0), 0,
IF(AND(A31=INT(A31), LEN(A31)=2), 1,
IF(AND(A31=INT(A31), LEN(A31)=3), 2,
LEN(A31) - FIND(".", A31) + 2)
)
),
"")</f>
      </c>
      <c r="C31" s="7" t="s">
        <v>88</v>
      </c>
      <c r="D31" s="8">
        <f>REPT("   ", B31*2) &amp; C31</f>
      </c>
      <c r="E31" s="7" t="s">
        <v>35</v>
      </c>
      <c r="F31" s="7" t="s">
        <v>36</v>
      </c>
      <c r="G31" s="10">
        <v>1</v>
      </c>
      <c r="H31" s="9"/>
      <c r="I31" s="9"/>
      <c r="J31" s="14"/>
      <c r="K31" s="14"/>
      <c r="L31" s="15" t="s">
        <v>74</v>
      </c>
      <c r="M31" s="8">
        <f>_xlfn.CONCAT(C27, " Volume")</f>
      </c>
      <c r="N31" s="14"/>
      <c r="O31" s="15" t="s">
        <v>76</v>
      </c>
      <c r="P31" s="14"/>
      <c r="Q31" s="14"/>
      <c r="R31" s="15"/>
      <c r="S31" s="7"/>
      <c r="T31" s="7"/>
      <c r="U31" s="24"/>
      <c r="V31" s="15"/>
      <c r="W31" s="4" t="s">
        <v>44</v>
      </c>
      <c r="X31" s="12">
        <f>0.9*$I31</f>
      </c>
      <c r="Y31" s="12">
        <f>1.5*J31</f>
      </c>
      <c r="Z31" s="4" t="s">
        <v>45</v>
      </c>
      <c r="AA31" s="11">
        <f>0.9*K31</f>
      </c>
      <c r="AB31" s="11">
        <f>1.3*K31</f>
      </c>
      <c r="AC31" s="4" t="s">
        <v>45</v>
      </c>
      <c r="AD31" s="13">
        <v>0.1</v>
      </c>
      <c r="AE31" s="11">
        <v>1</v>
      </c>
      <c r="AF31" s="11">
        <v>0</v>
      </c>
      <c r="AG31" s="4" t="s">
        <v>46</v>
      </c>
    </row>
    <row x14ac:dyDescent="0.25" r="32" customHeight="1" ht="15">
      <c r="A32" s="23">
        <v>213.7</v>
      </c>
      <c r="B32" s="6">
        <f>IF(ISNUMBER(A32),
IF(AND(A32=INT(A32), MOD(A32, 10) = 0), 0,
IF(AND(A32=INT(A32), LEN(A32)=2), 1,
IF(AND(A32=INT(A32), LEN(A32)=3), 2,
LEN(A32) - FIND(".", A32) + 2)
)
),
"")</f>
      </c>
      <c r="C32" s="7" t="s">
        <v>91</v>
      </c>
      <c r="D32" s="8">
        <f>REPT("   ", B32*2) &amp; C32</f>
      </c>
      <c r="E32" s="9"/>
      <c r="F32" s="9"/>
      <c r="G32" s="10"/>
      <c r="H32" s="9"/>
      <c r="I32" s="9"/>
      <c r="J32" s="14"/>
      <c r="K32" s="14"/>
      <c r="L32" s="15"/>
      <c r="M32" s="7"/>
      <c r="N32" s="14"/>
      <c r="O32" s="15"/>
      <c r="P32" s="14"/>
      <c r="Q32" s="14"/>
      <c r="R32" s="15"/>
      <c r="S32" s="7"/>
      <c r="T32" s="7"/>
      <c r="U32" s="24"/>
      <c r="V32" s="15"/>
      <c r="W32" s="4"/>
      <c r="X32" s="12"/>
      <c r="Y32" s="12"/>
      <c r="Z32" s="4"/>
      <c r="AA32" s="11"/>
      <c r="AB32" s="11"/>
      <c r="AC32" s="4"/>
      <c r="AD32" s="13"/>
      <c r="AE32" s="11"/>
      <c r="AF32" s="11"/>
      <c r="AG32" s="4"/>
    </row>
    <row x14ac:dyDescent="0.25" r="33" customHeight="1" ht="54">
      <c r="A33" s="23">
        <v>213.71</v>
      </c>
      <c r="B33" s="6">
        <f>IF(ISNUMBER(A33),
IF(AND(A33=INT(A33), MOD(A33, 10) = 0), 0,
IF(AND(A33=INT(A33), LEN(A33)=2), 1,
IF(AND(A33=INT(A33), LEN(A33)=3), 2,
LEN(A33) - FIND(".", A33) + 2)
)
),
"")</f>
      </c>
      <c r="C33" s="8">
        <f>_xlfn.CONCAT(C32," Roof")</f>
      </c>
      <c r="D33" s="8">
        <f>REPT("   ", B33*2) &amp; C33</f>
      </c>
      <c r="E33" s="7" t="s">
        <v>35</v>
      </c>
      <c r="F33" s="7" t="s">
        <v>36</v>
      </c>
      <c r="G33" s="10">
        <v>1</v>
      </c>
      <c r="H33" s="9"/>
      <c r="I33" s="9"/>
      <c r="J33" s="14"/>
      <c r="K33" s="14">
        <f>1200</f>
      </c>
      <c r="L33" s="15" t="s">
        <v>74</v>
      </c>
      <c r="M33" s="8">
        <f>_xlfn.CONCAT(C33, " Volume")</f>
      </c>
      <c r="N33" s="14"/>
      <c r="O33" s="15" t="s">
        <v>76</v>
      </c>
      <c r="P33" s="14"/>
      <c r="Q33" s="14">
        <v>2024</v>
      </c>
      <c r="R33" s="15" t="s">
        <v>86</v>
      </c>
      <c r="S33" s="16" t="s">
        <v>87</v>
      </c>
      <c r="T33" s="16" t="s">
        <v>70</v>
      </c>
      <c r="U33" s="22" t="s">
        <v>71</v>
      </c>
      <c r="V33" s="15"/>
      <c r="W33" s="4" t="s">
        <v>44</v>
      </c>
      <c r="X33" s="12">
        <f>0.9*$I33</f>
      </c>
      <c r="Y33" s="12">
        <f>1.5*J33</f>
      </c>
      <c r="Z33" s="4" t="s">
        <v>45</v>
      </c>
      <c r="AA33" s="11">
        <f>0.9*K33</f>
      </c>
      <c r="AB33" s="11">
        <f>1.3*K33</f>
      </c>
      <c r="AC33" s="4" t="s">
        <v>45</v>
      </c>
      <c r="AD33" s="13">
        <v>0.1</v>
      </c>
      <c r="AE33" s="11">
        <v>1</v>
      </c>
      <c r="AF33" s="11">
        <v>0</v>
      </c>
      <c r="AG33" s="4" t="s">
        <v>46</v>
      </c>
    </row>
    <row x14ac:dyDescent="0.25" r="34" customHeight="1" ht="54">
      <c r="A34" s="23">
        <v>213.72</v>
      </c>
      <c r="B34" s="6">
        <f>IF(ISNUMBER(A34),
IF(AND(A34=INT(A34), MOD(A34, 10) = 0), 0,
IF(AND(A34=INT(A34), LEN(A34)=2), 1,
IF(AND(A34=INT(A34), LEN(A34)=3), 2,
LEN(A34) - FIND(".", A34) + 2)
)
),
"")</f>
      </c>
      <c r="C34" s="8">
        <f>_xlfn.CONCAT(C32," Basement")</f>
      </c>
      <c r="D34" s="8">
        <f>REPT("   ", B34*2) &amp; C34</f>
      </c>
      <c r="E34" s="7" t="s">
        <v>35</v>
      </c>
      <c r="F34" s="7" t="s">
        <v>36</v>
      </c>
      <c r="G34" s="10">
        <v>1</v>
      </c>
      <c r="H34" s="9"/>
      <c r="I34" s="9"/>
      <c r="J34" s="14"/>
      <c r="K34" s="14">
        <f>943.9</f>
      </c>
      <c r="L34" s="15" t="s">
        <v>74</v>
      </c>
      <c r="M34" s="8">
        <f>_xlfn.CONCAT(C34, " Volume")</f>
      </c>
      <c r="N34" s="14"/>
      <c r="O34" s="15" t="s">
        <v>76</v>
      </c>
      <c r="P34" s="14"/>
      <c r="Q34" s="14">
        <v>2024</v>
      </c>
      <c r="R34" s="15" t="s">
        <v>86</v>
      </c>
      <c r="S34" s="7"/>
      <c r="T34" s="7"/>
      <c r="U34" s="7"/>
      <c r="V34" s="15"/>
      <c r="W34" s="4" t="s">
        <v>44</v>
      </c>
      <c r="X34" s="12">
        <f>0.9*$I34</f>
      </c>
      <c r="Y34" s="12">
        <f>1.5*J34</f>
      </c>
      <c r="Z34" s="4" t="s">
        <v>45</v>
      </c>
      <c r="AA34" s="13">
        <f>0.9*K34</f>
      </c>
      <c r="AB34" s="13">
        <f>1.3*K34</f>
      </c>
      <c r="AC34" s="4" t="s">
        <v>45</v>
      </c>
      <c r="AD34" s="13">
        <v>0.1</v>
      </c>
      <c r="AE34" s="11">
        <v>1</v>
      </c>
      <c r="AF34" s="11">
        <v>0</v>
      </c>
      <c r="AG34" s="4" t="s">
        <v>46</v>
      </c>
    </row>
    <row x14ac:dyDescent="0.25" r="35" customHeight="1" ht="54">
      <c r="A35" s="23">
        <v>213.73</v>
      </c>
      <c r="B35" s="6">
        <f>IF(ISNUMBER(A35),
IF(AND(A35=INT(A35), MOD(A35, 10) = 0), 0,
IF(AND(A35=INT(A35), LEN(A35)=2), 1,
IF(AND(A35=INT(A35), LEN(A35)=3), 2,
LEN(A35) - FIND(".", A35) + 2)
)
),
"")</f>
      </c>
      <c r="C35" s="8">
        <f>_xlfn.CONCAT(C32," Walls")</f>
      </c>
      <c r="D35" s="8">
        <f>REPT("   ", B35*2) &amp; C35</f>
      </c>
      <c r="E35" s="7" t="s">
        <v>35</v>
      </c>
      <c r="F35" s="7" t="s">
        <v>36</v>
      </c>
      <c r="G35" s="10">
        <v>1</v>
      </c>
      <c r="H35" s="9"/>
      <c r="I35" s="9"/>
      <c r="J35" s="14"/>
      <c r="K35" s="14">
        <f>721.21</f>
      </c>
      <c r="L35" s="15" t="s">
        <v>74</v>
      </c>
      <c r="M35" s="8">
        <f>_xlfn.CONCAT(C35, " Volume")</f>
      </c>
      <c r="N35" s="14"/>
      <c r="O35" s="15" t="s">
        <v>76</v>
      </c>
      <c r="P35" s="14"/>
      <c r="Q35" s="14">
        <v>2024</v>
      </c>
      <c r="R35" s="15" t="s">
        <v>86</v>
      </c>
      <c r="S35" s="7"/>
      <c r="T35" s="7"/>
      <c r="U35" s="7"/>
      <c r="V35" s="15"/>
      <c r="W35" s="4" t="s">
        <v>44</v>
      </c>
      <c r="X35" s="12">
        <f>0.9*$I35</f>
      </c>
      <c r="Y35" s="12">
        <f>1.5*J35</f>
      </c>
      <c r="Z35" s="4" t="s">
        <v>45</v>
      </c>
      <c r="AA35" s="13">
        <f>0.9*K35</f>
      </c>
      <c r="AB35" s="13">
        <f>1.3*K35</f>
      </c>
      <c r="AC35" s="4" t="s">
        <v>45</v>
      </c>
      <c r="AD35" s="13">
        <v>0.1</v>
      </c>
      <c r="AE35" s="11">
        <v>1</v>
      </c>
      <c r="AF35" s="11">
        <v>0</v>
      </c>
      <c r="AG35" s="4" t="s">
        <v>46</v>
      </c>
    </row>
    <row x14ac:dyDescent="0.25" r="36" customHeight="1" ht="40.5">
      <c r="A36" s="23">
        <v>213.79</v>
      </c>
      <c r="B36" s="6">
        <f>IF(ISNUMBER(A36),
IF(AND(A36=INT(A36), MOD(A36, 10) = 0), 0,
IF(AND(A36=INT(A36), LEN(A36)=2), 1,
IF(AND(A36=INT(A36), LEN(A36)=3), 2,
LEN(A36) - FIND(".", A36) + 2)
)
),
"")</f>
      </c>
      <c r="C36" s="7" t="s">
        <v>88</v>
      </c>
      <c r="D36" s="8">
        <f>REPT("   ", B36*2) &amp; C36</f>
      </c>
      <c r="E36" s="7" t="s">
        <v>35</v>
      </c>
      <c r="F36" s="7" t="s">
        <v>36</v>
      </c>
      <c r="G36" s="10">
        <v>1</v>
      </c>
      <c r="H36" s="9"/>
      <c r="I36" s="9"/>
      <c r="J36" s="14"/>
      <c r="K36" s="14"/>
      <c r="L36" s="15" t="s">
        <v>74</v>
      </c>
      <c r="M36" s="8">
        <f>_xlfn.CONCAT(C32, " Volume")</f>
      </c>
      <c r="N36" s="14"/>
      <c r="O36" s="15" t="s">
        <v>76</v>
      </c>
      <c r="P36" s="14"/>
      <c r="Q36" s="14"/>
      <c r="R36" s="15"/>
      <c r="S36" s="7"/>
      <c r="T36" s="7"/>
      <c r="U36" s="24"/>
      <c r="V36" s="15"/>
      <c r="W36" s="4" t="s">
        <v>44</v>
      </c>
      <c r="X36" s="12">
        <f>0.9*$I36</f>
      </c>
      <c r="Y36" s="12">
        <f>1.5*J36</f>
      </c>
      <c r="Z36" s="4" t="s">
        <v>45</v>
      </c>
      <c r="AA36" s="11">
        <f>0.9*K36</f>
      </c>
      <c r="AB36" s="11">
        <f>1.3*K36</f>
      </c>
      <c r="AC36" s="4" t="s">
        <v>45</v>
      </c>
      <c r="AD36" s="13">
        <v>0.1</v>
      </c>
      <c r="AE36" s="11">
        <v>1</v>
      </c>
      <c r="AF36" s="11">
        <v>0</v>
      </c>
      <c r="AG36" s="4" t="s">
        <v>46</v>
      </c>
    </row>
    <row x14ac:dyDescent="0.25" r="37" customHeight="1" ht="15">
      <c r="A37" s="23">
        <v>213.8</v>
      </c>
      <c r="B37" s="6">
        <f>IF(ISNUMBER(A37),
IF(AND(A37=INT(A37), MOD(A37, 10) = 0), 0,
IF(AND(A37=INT(A37), LEN(A37)=2), 1,
IF(AND(A37=INT(A37), LEN(A37)=3), 2,
LEN(A37) - FIND(".", A37) + 2)
)
),
"")</f>
      </c>
      <c r="C37" s="7" t="s">
        <v>92</v>
      </c>
      <c r="D37" s="8">
        <f>REPT("   ", B37*2) &amp; C37</f>
      </c>
      <c r="E37" s="9"/>
      <c r="F37" s="9"/>
      <c r="G37" s="10"/>
      <c r="H37" s="9"/>
      <c r="I37" s="9"/>
      <c r="J37" s="14"/>
      <c r="K37" s="14"/>
      <c r="L37" s="15"/>
      <c r="M37" s="7"/>
      <c r="N37" s="14"/>
      <c r="O37" s="15"/>
      <c r="P37" s="14"/>
      <c r="Q37" s="14"/>
      <c r="R37" s="15"/>
      <c r="S37" s="7"/>
      <c r="T37" s="7"/>
      <c r="U37" s="24"/>
      <c r="V37" s="15"/>
      <c r="W37" s="4"/>
      <c r="X37" s="12"/>
      <c r="Y37" s="12"/>
      <c r="Z37" s="4"/>
      <c r="AA37" s="11"/>
      <c r="AB37" s="11"/>
      <c r="AC37" s="4"/>
      <c r="AD37" s="13"/>
      <c r="AE37" s="11"/>
      <c r="AF37" s="11"/>
      <c r="AG37" s="4"/>
    </row>
    <row x14ac:dyDescent="0.25" r="38" customHeight="1" ht="54">
      <c r="A38" s="23">
        <v>213.81</v>
      </c>
      <c r="B38" s="6">
        <f>IF(ISNUMBER(A38),
IF(AND(A38=INT(A38), MOD(A38, 10) = 0), 0,
IF(AND(A38=INT(A38), LEN(A38)=2), 1,
IF(AND(A38=INT(A38), LEN(A38)=3), 2,
LEN(A38) - FIND(".", A38) + 2)
)
),
"")</f>
      </c>
      <c r="C38" s="8">
        <f>_xlfn.CONCAT(C37," Roof")</f>
      </c>
      <c r="D38" s="8">
        <f>REPT("   ", B38*2) &amp; C38</f>
      </c>
      <c r="E38" s="7" t="s">
        <v>35</v>
      </c>
      <c r="F38" s="7" t="s">
        <v>36</v>
      </c>
      <c r="G38" s="10">
        <v>1</v>
      </c>
      <c r="H38" s="9"/>
      <c r="I38" s="9"/>
      <c r="J38" s="14"/>
      <c r="K38" s="14">
        <f>1200</f>
      </c>
      <c r="L38" s="15" t="s">
        <v>74</v>
      </c>
      <c r="M38" s="8">
        <f>_xlfn.CONCAT(C38, " Volume")</f>
      </c>
      <c r="N38" s="14"/>
      <c r="O38" s="15" t="s">
        <v>76</v>
      </c>
      <c r="P38" s="14"/>
      <c r="Q38" s="14">
        <v>2024</v>
      </c>
      <c r="R38" s="15" t="s">
        <v>86</v>
      </c>
      <c r="S38" s="16" t="s">
        <v>87</v>
      </c>
      <c r="T38" s="16" t="s">
        <v>70</v>
      </c>
      <c r="U38" s="22" t="s">
        <v>71</v>
      </c>
      <c r="V38" s="15"/>
      <c r="W38" s="4" t="s">
        <v>44</v>
      </c>
      <c r="X38" s="12">
        <f>0.9*$I38</f>
      </c>
      <c r="Y38" s="12">
        <f>1.5*J38</f>
      </c>
      <c r="Z38" s="4" t="s">
        <v>45</v>
      </c>
      <c r="AA38" s="11">
        <f>0.9*K38</f>
      </c>
      <c r="AB38" s="11">
        <f>1.3*K38</f>
      </c>
      <c r="AC38" s="4" t="s">
        <v>45</v>
      </c>
      <c r="AD38" s="13">
        <v>0.1</v>
      </c>
      <c r="AE38" s="11">
        <v>1</v>
      </c>
      <c r="AF38" s="11">
        <v>0</v>
      </c>
      <c r="AG38" s="4" t="s">
        <v>46</v>
      </c>
    </row>
    <row x14ac:dyDescent="0.25" r="39" customHeight="1" ht="54">
      <c r="A39" s="23">
        <v>213.82</v>
      </c>
      <c r="B39" s="6">
        <f>IF(ISNUMBER(A39),
IF(AND(A39=INT(A39), MOD(A39, 10) = 0), 0,
IF(AND(A39=INT(A39), LEN(A39)=2), 1,
IF(AND(A39=INT(A39), LEN(A39)=3), 2,
LEN(A39) - FIND(".", A39) + 2)
)
),
"")</f>
      </c>
      <c r="C39" s="8">
        <f>_xlfn.CONCAT(C37," Basement")</f>
      </c>
      <c r="D39" s="8">
        <f>REPT("   ", B39*2) &amp; C39</f>
      </c>
      <c r="E39" s="7" t="s">
        <v>35</v>
      </c>
      <c r="F39" s="7" t="s">
        <v>36</v>
      </c>
      <c r="G39" s="10">
        <v>1</v>
      </c>
      <c r="H39" s="9"/>
      <c r="I39" s="9"/>
      <c r="J39" s="14"/>
      <c r="K39" s="14">
        <f>943.9</f>
      </c>
      <c r="L39" s="15" t="s">
        <v>74</v>
      </c>
      <c r="M39" s="8">
        <f>_xlfn.CONCAT(C39, " Volume")</f>
      </c>
      <c r="N39" s="14"/>
      <c r="O39" s="15" t="s">
        <v>76</v>
      </c>
      <c r="P39" s="14"/>
      <c r="Q39" s="14">
        <v>2024</v>
      </c>
      <c r="R39" s="15" t="s">
        <v>86</v>
      </c>
      <c r="S39" s="7"/>
      <c r="T39" s="7"/>
      <c r="U39" s="7"/>
      <c r="V39" s="15"/>
      <c r="W39" s="4" t="s">
        <v>44</v>
      </c>
      <c r="X39" s="12">
        <f>0.9*$I39</f>
      </c>
      <c r="Y39" s="12">
        <f>1.5*J39</f>
      </c>
      <c r="Z39" s="4" t="s">
        <v>45</v>
      </c>
      <c r="AA39" s="13">
        <f>0.9*K39</f>
      </c>
      <c r="AB39" s="13">
        <f>1.3*K39</f>
      </c>
      <c r="AC39" s="4" t="s">
        <v>45</v>
      </c>
      <c r="AD39" s="13">
        <v>0.1</v>
      </c>
      <c r="AE39" s="11">
        <v>1</v>
      </c>
      <c r="AF39" s="11">
        <v>0</v>
      </c>
      <c r="AG39" s="4" t="s">
        <v>46</v>
      </c>
    </row>
    <row x14ac:dyDescent="0.25" r="40" customHeight="1" ht="54">
      <c r="A40" s="23">
        <v>213.83</v>
      </c>
      <c r="B40" s="6">
        <f>IF(ISNUMBER(A40),
IF(AND(A40=INT(A40), MOD(A40, 10) = 0), 0,
IF(AND(A40=INT(A40), LEN(A40)=2), 1,
IF(AND(A40=INT(A40), LEN(A40)=3), 2,
LEN(A40) - FIND(".", A40) + 2)
)
),
"")</f>
      </c>
      <c r="C40" s="8">
        <f>_xlfn.CONCAT(C37," Walls")</f>
      </c>
      <c r="D40" s="8">
        <f>REPT("   ", B40*2) &amp; C40</f>
      </c>
      <c r="E40" s="7" t="s">
        <v>35</v>
      </c>
      <c r="F40" s="7" t="s">
        <v>36</v>
      </c>
      <c r="G40" s="10">
        <v>1</v>
      </c>
      <c r="H40" s="9"/>
      <c r="I40" s="9"/>
      <c r="J40" s="14"/>
      <c r="K40" s="14">
        <f>721.21</f>
      </c>
      <c r="L40" s="15" t="s">
        <v>74</v>
      </c>
      <c r="M40" s="8">
        <f>_xlfn.CONCAT(C40, " Volume")</f>
      </c>
      <c r="N40" s="14"/>
      <c r="O40" s="15" t="s">
        <v>76</v>
      </c>
      <c r="P40" s="14"/>
      <c r="Q40" s="14">
        <v>2024</v>
      </c>
      <c r="R40" s="15" t="s">
        <v>86</v>
      </c>
      <c r="S40" s="7"/>
      <c r="T40" s="7"/>
      <c r="U40" s="7"/>
      <c r="V40" s="15"/>
      <c r="W40" s="4" t="s">
        <v>44</v>
      </c>
      <c r="X40" s="12">
        <f>0.9*$I40</f>
      </c>
      <c r="Y40" s="12">
        <f>1.5*J40</f>
      </c>
      <c r="Z40" s="4" t="s">
        <v>45</v>
      </c>
      <c r="AA40" s="13">
        <f>0.9*K40</f>
      </c>
      <c r="AB40" s="13">
        <f>1.3*K40</f>
      </c>
      <c r="AC40" s="4" t="s">
        <v>45</v>
      </c>
      <c r="AD40" s="13">
        <v>0.1</v>
      </c>
      <c r="AE40" s="11">
        <v>1</v>
      </c>
      <c r="AF40" s="11">
        <v>0</v>
      </c>
      <c r="AG40" s="4" t="s">
        <v>46</v>
      </c>
    </row>
    <row x14ac:dyDescent="0.25" r="41" customHeight="1" ht="40.5">
      <c r="A41" s="23">
        <v>213.89</v>
      </c>
      <c r="B41" s="6">
        <f>IF(ISNUMBER(A41),
IF(AND(A41=INT(A41), MOD(A41, 10) = 0), 0,
IF(AND(A41=INT(A41), LEN(A41)=2), 1,
IF(AND(A41=INT(A41), LEN(A41)=3), 2,
LEN(A41) - FIND(".", A41) + 2)
)
),
"")</f>
      </c>
      <c r="C41" s="7" t="s">
        <v>88</v>
      </c>
      <c r="D41" s="8">
        <f>REPT("   ", B41*2) &amp; C41</f>
      </c>
      <c r="E41" s="7" t="s">
        <v>35</v>
      </c>
      <c r="F41" s="7" t="s">
        <v>36</v>
      </c>
      <c r="G41" s="10">
        <v>1</v>
      </c>
      <c r="H41" s="9"/>
      <c r="I41" s="9"/>
      <c r="J41" s="14"/>
      <c r="K41" s="14"/>
      <c r="L41" s="15" t="s">
        <v>74</v>
      </c>
      <c r="M41" s="8">
        <f>_xlfn.CONCAT(C37, " Volume")</f>
      </c>
      <c r="N41" s="14"/>
      <c r="O41" s="15" t="s">
        <v>76</v>
      </c>
      <c r="P41" s="14"/>
      <c r="Q41" s="14"/>
      <c r="R41" s="15"/>
      <c r="S41" s="7"/>
      <c r="T41" s="7"/>
      <c r="U41" s="24"/>
      <c r="V41" s="15"/>
      <c r="W41" s="4" t="s">
        <v>44</v>
      </c>
      <c r="X41" s="12">
        <f>0.9*$I41</f>
      </c>
      <c r="Y41" s="12">
        <f>1.5*J41</f>
      </c>
      <c r="Z41" s="4" t="s">
        <v>45</v>
      </c>
      <c r="AA41" s="11">
        <f>0.9*K41</f>
      </c>
      <c r="AB41" s="11">
        <f>1.3*K41</f>
      </c>
      <c r="AC41" s="4" t="s">
        <v>45</v>
      </c>
      <c r="AD41" s="13">
        <v>0.1</v>
      </c>
      <c r="AE41" s="11">
        <v>1</v>
      </c>
      <c r="AF41" s="11">
        <v>0</v>
      </c>
      <c r="AG41" s="4" t="s">
        <v>46</v>
      </c>
    </row>
    <row x14ac:dyDescent="0.25" r="42" customHeight="1" ht="39">
      <c r="A42" s="23">
        <v>213.9</v>
      </c>
      <c r="B42" s="6">
        <f>IF(ISNUMBER(A42),
IF(AND(A42=INT(A42), MOD(A42, 10) = 0), 0,
IF(AND(A42=INT(A42), LEN(A42)=2), 1,
IF(AND(A42=INT(A42), LEN(A42)=3), 2,
LEN(A42) - FIND(".", A42) + 2)
)
),
"")</f>
      </c>
      <c r="C42" s="7" t="s">
        <v>78</v>
      </c>
      <c r="D42" s="8">
        <f>REPT("   ", B42*2) &amp; C42</f>
      </c>
      <c r="E42" s="7" t="s">
        <v>35</v>
      </c>
      <c r="F42" s="7" t="s">
        <v>36</v>
      </c>
      <c r="G42" s="10">
        <v>1</v>
      </c>
      <c r="H42" s="9"/>
      <c r="I42" s="9"/>
      <c r="J42" s="14"/>
      <c r="K42" s="14">
        <f>75/0.3048</f>
      </c>
      <c r="L42" s="15" t="s">
        <v>79</v>
      </c>
      <c r="M42" s="15" t="s">
        <v>93</v>
      </c>
      <c r="N42" s="14"/>
      <c r="O42" s="15"/>
      <c r="P42" s="14"/>
      <c r="Q42" s="14">
        <v>2009</v>
      </c>
      <c r="R42" s="15" t="s">
        <v>68</v>
      </c>
      <c r="S42" s="7" t="s">
        <v>81</v>
      </c>
      <c r="T42" s="7" t="s">
        <v>82</v>
      </c>
      <c r="U42" s="25" t="s">
        <v>83</v>
      </c>
      <c r="V42" s="15"/>
      <c r="W42" s="4" t="s">
        <v>44</v>
      </c>
      <c r="X42" s="12">
        <f>0.9*$J42</f>
      </c>
      <c r="Y42" s="12">
        <f>1.5*J42</f>
      </c>
      <c r="Z42" s="4" t="s">
        <v>45</v>
      </c>
      <c r="AA42" s="13">
        <f>0.9*K42</f>
      </c>
      <c r="AB42" s="13">
        <f>1.3*K42</f>
      </c>
      <c r="AC42" s="4" t="s">
        <v>45</v>
      </c>
      <c r="AD42" s="13">
        <v>0.1</v>
      </c>
      <c r="AE42" s="11">
        <v>1</v>
      </c>
      <c r="AF42" s="11">
        <v>0</v>
      </c>
      <c r="AG42" s="4" t="s">
        <v>46</v>
      </c>
    </row>
    <row x14ac:dyDescent="0.25" r="43" customHeight="1" ht="15">
      <c r="A43" s="20">
        <v>214</v>
      </c>
      <c r="B43" s="6">
        <f>IF(ISNUMBER(A43),
IF(AND(A43=INT(A43), MOD(A43, 10) = 0), 0,
IF(AND(A43=INT(A43), LEN(A43)=2), 1,
IF(AND(A43=INT(A43), LEN(A43)=3), 2,
LEN(A43) - FIND(".", A43) + 2)
)
),
"")</f>
      </c>
      <c r="C43" s="7" t="s">
        <v>94</v>
      </c>
      <c r="D43" s="8">
        <f>REPT("   ", B43*2) &amp; C43</f>
      </c>
      <c r="E43" s="9"/>
      <c r="F43" s="9"/>
      <c r="G43" s="10"/>
      <c r="H43" s="9"/>
      <c r="I43" s="9"/>
      <c r="J43" s="14"/>
      <c r="K43" s="14"/>
      <c r="L43" s="14"/>
      <c r="M43" s="19"/>
      <c r="N43" s="14"/>
      <c r="O43" s="14"/>
      <c r="P43" s="14"/>
      <c r="Q43" s="14"/>
      <c r="R43" s="14"/>
      <c r="S43" s="19"/>
      <c r="T43" s="7"/>
      <c r="U43" s="24"/>
      <c r="V43" s="15"/>
      <c r="W43" s="4"/>
      <c r="X43" s="12"/>
      <c r="Y43" s="12"/>
      <c r="Z43" s="4"/>
      <c r="AA43" s="11"/>
      <c r="AB43" s="11"/>
      <c r="AC43" s="4"/>
      <c r="AD43" s="13"/>
      <c r="AE43" s="11"/>
      <c r="AF43" s="11"/>
      <c r="AG43" s="4"/>
    </row>
    <row x14ac:dyDescent="0.25" r="44" customHeight="1" ht="15">
      <c r="A44" s="23">
        <v>214.1</v>
      </c>
      <c r="B44" s="6">
        <f>IF(ISNUMBER(A44),
IF(AND(A44=INT(A44), MOD(A44, 10) = 0), 0,
IF(AND(A44=INT(A44), LEN(A44)=2), 1,
IF(AND(A44=INT(A44), LEN(A44)=3), 2,
LEN(A44) - FIND(".", A44) + 2)
)
),
"")</f>
      </c>
      <c r="C44" s="7" t="s">
        <v>95</v>
      </c>
      <c r="D44" s="8">
        <f>REPT("   ", B44*2) &amp; C44</f>
      </c>
      <c r="E44" s="9"/>
      <c r="F44" s="9"/>
      <c r="G44" s="10"/>
      <c r="H44" s="9"/>
      <c r="I44" s="9"/>
      <c r="J44" s="14"/>
      <c r="K44" s="14"/>
      <c r="L44" s="14"/>
      <c r="M44" s="19"/>
      <c r="N44" s="14"/>
      <c r="O44" s="14"/>
      <c r="P44" s="14"/>
      <c r="Q44" s="14"/>
      <c r="R44" s="14"/>
      <c r="S44" s="19"/>
      <c r="T44" s="7"/>
      <c r="U44" s="24"/>
      <c r="V44" s="15"/>
      <c r="W44" s="4"/>
      <c r="X44" s="12"/>
      <c r="Y44" s="12"/>
      <c r="Z44" s="4"/>
      <c r="AA44" s="11"/>
      <c r="AB44" s="11"/>
      <c r="AC44" s="4"/>
      <c r="AD44" s="13"/>
      <c r="AE44" s="11"/>
      <c r="AF44" s="11"/>
      <c r="AG44" s="4"/>
    </row>
    <row x14ac:dyDescent="0.25" r="45" customHeight="1" ht="40.5">
      <c r="A45" s="23">
        <v>213.11</v>
      </c>
      <c r="B45" s="6">
        <f>IF(ISNUMBER(A45),
IF(AND(A45=INT(A45), MOD(A45, 10) = 0), 0,
IF(AND(A45=INT(A45), LEN(A45)=2), 1,
IF(AND(A45=INT(A45), LEN(A45)=3), 2,
LEN(A45) - FIND(".", A45) + 2)
)
),
"")</f>
      </c>
      <c r="C45" s="8">
        <f>_xlfn.CONCAT(C44," Roof")</f>
      </c>
      <c r="D45" s="8">
        <f>REPT("   ", B45*2) &amp; C45</f>
      </c>
      <c r="E45" s="7" t="s">
        <v>35</v>
      </c>
      <c r="F45" s="7" t="s">
        <v>36</v>
      </c>
      <c r="G45" s="10">
        <v>1</v>
      </c>
      <c r="H45" s="9"/>
      <c r="I45" s="9"/>
      <c r="J45" s="14"/>
      <c r="K45" s="14">
        <f>1200 *1.53</f>
      </c>
      <c r="L45" s="15" t="s">
        <v>74</v>
      </c>
      <c r="M45" s="8">
        <f>_xlfn.CONCAT(C45, " Volume")</f>
      </c>
      <c r="N45" s="14"/>
      <c r="O45" s="15" t="s">
        <v>76</v>
      </c>
      <c r="P45" s="14"/>
      <c r="Q45" s="14">
        <v>2024</v>
      </c>
      <c r="R45" s="15" t="s">
        <v>86</v>
      </c>
      <c r="S45" s="16" t="s">
        <v>87</v>
      </c>
      <c r="T45" s="16" t="s">
        <v>70</v>
      </c>
      <c r="U45" s="22" t="s">
        <v>71</v>
      </c>
      <c r="V45" s="15"/>
      <c r="W45" s="4" t="s">
        <v>44</v>
      </c>
      <c r="X45" s="12">
        <f>0.9*$I45</f>
      </c>
      <c r="Y45" s="12">
        <f>1.5*J45</f>
      </c>
      <c r="Z45" s="4" t="s">
        <v>45</v>
      </c>
      <c r="AA45" s="13">
        <f>0.9*K45</f>
      </c>
      <c r="AB45" s="13">
        <f>1.3*K45</f>
      </c>
      <c r="AC45" s="4" t="s">
        <v>45</v>
      </c>
      <c r="AD45" s="13">
        <v>0.1</v>
      </c>
      <c r="AE45" s="11">
        <v>1</v>
      </c>
      <c r="AF45" s="11">
        <v>0</v>
      </c>
      <c r="AG45" s="4" t="s">
        <v>46</v>
      </c>
    </row>
    <row x14ac:dyDescent="0.25" r="46" customHeight="1" ht="40.5">
      <c r="A46" s="23">
        <v>213.12</v>
      </c>
      <c r="B46" s="6">
        <f>IF(ISNUMBER(A46),
IF(AND(A46=INT(A46), MOD(A46, 10) = 0), 0,
IF(AND(A46=INT(A46), LEN(A46)=2), 1,
IF(AND(A46=INT(A46), LEN(A46)=3), 2,
LEN(A46) - FIND(".", A46) + 2)
)
),
"")</f>
      </c>
      <c r="C46" s="8">
        <f>_xlfn.CONCAT(C44," Basement")</f>
      </c>
      <c r="D46" s="8">
        <f>REPT("   ", B46*2) &amp; C46</f>
      </c>
      <c r="E46" s="7" t="s">
        <v>35</v>
      </c>
      <c r="F46" s="7" t="s">
        <v>36</v>
      </c>
      <c r="G46" s="10">
        <v>1</v>
      </c>
      <c r="H46" s="9"/>
      <c r="I46" s="9"/>
      <c r="J46" s="14"/>
      <c r="K46" s="14">
        <f>943.9*1.53</f>
      </c>
      <c r="L46" s="15" t="s">
        <v>74</v>
      </c>
      <c r="M46" s="8">
        <f>_xlfn.CONCAT(C46, " Volume")</f>
      </c>
      <c r="N46" s="14"/>
      <c r="O46" s="15" t="s">
        <v>76</v>
      </c>
      <c r="P46" s="14"/>
      <c r="Q46" s="14">
        <v>2024</v>
      </c>
      <c r="R46" s="15" t="s">
        <v>86</v>
      </c>
      <c r="S46" s="7"/>
      <c r="T46" s="7"/>
      <c r="U46" s="7"/>
      <c r="V46" s="15"/>
      <c r="W46" s="4" t="s">
        <v>44</v>
      </c>
      <c r="X46" s="12">
        <f>0.9*$I46</f>
      </c>
      <c r="Y46" s="12">
        <f>1.5*J46</f>
      </c>
      <c r="Z46" s="4" t="s">
        <v>45</v>
      </c>
      <c r="AA46" s="13">
        <f>0.9*K46</f>
      </c>
      <c r="AB46" s="13">
        <f>1.3*K46</f>
      </c>
      <c r="AC46" s="4" t="s">
        <v>45</v>
      </c>
      <c r="AD46" s="13">
        <v>0.1</v>
      </c>
      <c r="AE46" s="11">
        <v>1</v>
      </c>
      <c r="AF46" s="11">
        <v>0</v>
      </c>
      <c r="AG46" s="4" t="s">
        <v>46</v>
      </c>
    </row>
    <row x14ac:dyDescent="0.25" r="47" customHeight="1" ht="40.5">
      <c r="A47" s="23">
        <v>213.13</v>
      </c>
      <c r="B47" s="6">
        <f>IF(ISNUMBER(A47),
IF(AND(A47=INT(A47), MOD(A47, 10) = 0), 0,
IF(AND(A47=INT(A47), LEN(A47)=2), 1,
IF(AND(A47=INT(A47), LEN(A47)=3), 2,
LEN(A47) - FIND(".", A47) + 2)
)
),
"")</f>
      </c>
      <c r="C47" s="8">
        <f>_xlfn.CONCAT(C44," Walls")</f>
      </c>
      <c r="D47" s="8">
        <f>REPT("   ", B47*2) &amp; C47</f>
      </c>
      <c r="E47" s="7" t="s">
        <v>35</v>
      </c>
      <c r="F47" s="7" t="s">
        <v>36</v>
      </c>
      <c r="G47" s="10">
        <v>1</v>
      </c>
      <c r="H47" s="9"/>
      <c r="I47" s="9"/>
      <c r="J47" s="14"/>
      <c r="K47" s="14">
        <f>721.21*1.53</f>
      </c>
      <c r="L47" s="15" t="s">
        <v>74</v>
      </c>
      <c r="M47" s="8">
        <f>_xlfn.CONCAT(C47, " Volume")</f>
      </c>
      <c r="N47" s="14"/>
      <c r="O47" s="15" t="s">
        <v>76</v>
      </c>
      <c r="P47" s="14"/>
      <c r="Q47" s="14">
        <v>2024</v>
      </c>
      <c r="R47" s="15" t="s">
        <v>86</v>
      </c>
      <c r="S47" s="7"/>
      <c r="T47" s="7"/>
      <c r="U47" s="7"/>
      <c r="V47" s="15"/>
      <c r="W47" s="4" t="s">
        <v>44</v>
      </c>
      <c r="X47" s="12">
        <f>0.9*$I47</f>
      </c>
      <c r="Y47" s="12">
        <f>1.5*J47</f>
      </c>
      <c r="Z47" s="4" t="s">
        <v>45</v>
      </c>
      <c r="AA47" s="13">
        <f>0.9*K47</f>
      </c>
      <c r="AB47" s="13">
        <f>1.3*K47</f>
      </c>
      <c r="AC47" s="4" t="s">
        <v>45</v>
      </c>
      <c r="AD47" s="13">
        <v>0.1</v>
      </c>
      <c r="AE47" s="11">
        <v>1</v>
      </c>
      <c r="AF47" s="11">
        <v>0</v>
      </c>
      <c r="AG47" s="4" t="s">
        <v>46</v>
      </c>
    </row>
    <row x14ac:dyDescent="0.25" r="48" customHeight="1" ht="25.5">
      <c r="A48" s="23">
        <v>214.14</v>
      </c>
      <c r="B48" s="6">
        <f>IF(ISNUMBER(A48),
IF(AND(A48=INT(A48), MOD(A48, 10) = 0), 0,
IF(AND(A48=INT(A48), LEN(A48)=2), 1,
IF(AND(A48=INT(A48), LEN(A48)=3), 2,
LEN(A48) - FIND(".", A48) + 2)
)
),
"")</f>
      </c>
      <c r="C48" s="7" t="s">
        <v>96</v>
      </c>
      <c r="D48" s="8">
        <f>REPT("   ", B48*2) &amp; C48</f>
      </c>
      <c r="E48" s="7" t="s">
        <v>35</v>
      </c>
      <c r="F48" s="7" t="s">
        <v>97</v>
      </c>
      <c r="G48" s="10"/>
      <c r="H48" s="9"/>
      <c r="I48" s="9"/>
      <c r="J48" s="14"/>
      <c r="K48" s="14"/>
      <c r="L48" s="14"/>
      <c r="M48" s="19"/>
      <c r="N48" s="14"/>
      <c r="O48" s="14"/>
      <c r="P48" s="14"/>
      <c r="Q48" s="14"/>
      <c r="R48" s="14"/>
      <c r="S48" s="19"/>
      <c r="T48" s="7"/>
      <c r="U48" s="24"/>
      <c r="V48" s="15"/>
      <c r="W48" s="4" t="s">
        <v>44</v>
      </c>
      <c r="X48" s="12">
        <f>0.8*$I48</f>
      </c>
      <c r="Y48" s="12">
        <f>2*J48</f>
      </c>
      <c r="Z48" s="4" t="s">
        <v>45</v>
      </c>
      <c r="AA48" s="11">
        <f>0.8*K48</f>
      </c>
      <c r="AB48" s="11">
        <f>2*K48</f>
      </c>
      <c r="AC48" s="4" t="s">
        <v>45</v>
      </c>
      <c r="AD48" s="13">
        <v>0.1</v>
      </c>
      <c r="AE48" s="11">
        <v>1</v>
      </c>
      <c r="AF48" s="11">
        <v>0</v>
      </c>
      <c r="AG48" s="4" t="s">
        <v>46</v>
      </c>
    </row>
    <row x14ac:dyDescent="0.25" r="49" customHeight="1" ht="25.5">
      <c r="A49" s="23">
        <v>214.141</v>
      </c>
      <c r="B49" s="6">
        <f>IF(ISNUMBER(A49),
IF(AND(A49=INT(A49), MOD(A49, 10) = 0), 0,
IF(AND(A49=INT(A49), LEN(A49)=2), 1,
IF(AND(A49=INT(A49), LEN(A49)=3), 2,
LEN(A49) - FIND(".", A49) + 2)
)
),
"")</f>
      </c>
      <c r="C49" s="7" t="s">
        <v>98</v>
      </c>
      <c r="D49" s="8">
        <f>REPT("   ", B49*2) &amp; C49</f>
      </c>
      <c r="E49" s="7" t="s">
        <v>35</v>
      </c>
      <c r="F49" s="7" t="s">
        <v>97</v>
      </c>
      <c r="G49" s="10">
        <v>4</v>
      </c>
      <c r="H49" s="9"/>
      <c r="I49" s="9"/>
      <c r="J49" s="14"/>
      <c r="K49" s="14"/>
      <c r="L49" s="14"/>
      <c r="M49" s="19"/>
      <c r="N49" s="14"/>
      <c r="O49" s="14"/>
      <c r="P49" s="14"/>
      <c r="Q49" s="14"/>
      <c r="R49" s="14"/>
      <c r="S49" s="19"/>
      <c r="T49" s="7"/>
      <c r="U49" s="24"/>
      <c r="V49" s="15"/>
      <c r="W49" s="4" t="s">
        <v>44</v>
      </c>
      <c r="X49" s="12">
        <f>0.8*$I49</f>
      </c>
      <c r="Y49" s="12">
        <f>2*J49</f>
      </c>
      <c r="Z49" s="4" t="s">
        <v>45</v>
      </c>
      <c r="AA49" s="11">
        <f>0.8*K49</f>
      </c>
      <c r="AB49" s="11">
        <f>2*K49</f>
      </c>
      <c r="AC49" s="4" t="s">
        <v>45</v>
      </c>
      <c r="AD49" s="13">
        <v>0.1</v>
      </c>
      <c r="AE49" s="11">
        <v>1</v>
      </c>
      <c r="AF49" s="11">
        <v>0</v>
      </c>
      <c r="AG49" s="4" t="s">
        <v>46</v>
      </c>
    </row>
    <row x14ac:dyDescent="0.25" r="50" customHeight="1" ht="27">
      <c r="A50" s="23">
        <v>214.19</v>
      </c>
      <c r="B50" s="6">
        <f>IF(ISNUMBER(A50),
IF(AND(A50=INT(A50), MOD(A50, 10) = 0), 0,
IF(AND(A50=INT(A50), LEN(A50)=2), 1,
IF(AND(A50=INT(A50), LEN(A50)=3), 2,
LEN(A50) - FIND(".", A50) + 2)
)
),
"")</f>
      </c>
      <c r="C50" s="7" t="s">
        <v>88</v>
      </c>
      <c r="D50" s="8">
        <f>REPT("   ", B50*2) &amp; C50</f>
      </c>
      <c r="E50" s="7" t="s">
        <v>35</v>
      </c>
      <c r="F50" s="7" t="s">
        <v>36</v>
      </c>
      <c r="G50" s="10">
        <v>1</v>
      </c>
      <c r="H50" s="9"/>
      <c r="I50" s="9"/>
      <c r="J50" s="14"/>
      <c r="K50" s="14"/>
      <c r="L50" s="15" t="s">
        <v>74</v>
      </c>
      <c r="M50" s="8">
        <f>_xlfn.CONCAT(C44, " Volume")</f>
      </c>
      <c r="N50" s="14"/>
      <c r="O50" s="14"/>
      <c r="P50" s="14"/>
      <c r="Q50" s="14"/>
      <c r="R50" s="14"/>
      <c r="S50" s="19"/>
      <c r="T50" s="7"/>
      <c r="U50" s="24"/>
      <c r="V50" s="15"/>
      <c r="W50" s="4" t="s">
        <v>44</v>
      </c>
      <c r="X50" s="12">
        <f>0.9*$I50</f>
      </c>
      <c r="Y50" s="12">
        <f>1.5*J50</f>
      </c>
      <c r="Z50" s="4" t="s">
        <v>45</v>
      </c>
      <c r="AA50" s="11">
        <f>0.9*K50</f>
      </c>
      <c r="AB50" s="11">
        <f>1.3*K50</f>
      </c>
      <c r="AC50" s="4" t="s">
        <v>45</v>
      </c>
      <c r="AD50" s="13">
        <v>0.1</v>
      </c>
      <c r="AE50" s="11">
        <v>1</v>
      </c>
      <c r="AF50" s="11">
        <v>0</v>
      </c>
      <c r="AG50" s="4" t="s">
        <v>46</v>
      </c>
    </row>
    <row x14ac:dyDescent="0.25" r="51" customHeight="1" ht="15">
      <c r="A51" s="23">
        <v>214.2</v>
      </c>
      <c r="B51" s="6">
        <f>IF(ISNUMBER(A51),
IF(AND(A51=INT(A51), MOD(A51, 10) = 0), 0,
IF(AND(A51=INT(A51), LEN(A51)=2), 1,
IF(AND(A51=INT(A51), LEN(A51)=3), 2,
LEN(A51) - FIND(".", A51) + 2)
)
),
"")</f>
      </c>
      <c r="C51" s="7" t="s">
        <v>99</v>
      </c>
      <c r="D51" s="9"/>
      <c r="E51" s="9"/>
      <c r="F51" s="9"/>
      <c r="G51" s="10"/>
      <c r="H51" s="9"/>
      <c r="I51" s="9"/>
      <c r="J51" s="14"/>
      <c r="K51" s="14"/>
      <c r="L51" s="14"/>
      <c r="M51" s="19"/>
      <c r="N51" s="14"/>
      <c r="O51" s="14"/>
      <c r="P51" s="14"/>
      <c r="Q51" s="14"/>
      <c r="R51" s="14"/>
      <c r="S51" s="19"/>
      <c r="T51" s="7"/>
      <c r="U51" s="24"/>
      <c r="V51" s="15"/>
      <c r="W51" s="4"/>
      <c r="X51" s="12"/>
      <c r="Y51" s="12"/>
      <c r="Z51" s="4"/>
      <c r="AA51" s="11"/>
      <c r="AB51" s="11"/>
      <c r="AC51" s="4"/>
      <c r="AD51" s="13"/>
      <c r="AE51" s="11"/>
      <c r="AF51" s="11"/>
      <c r="AG51" s="4"/>
    </row>
    <row x14ac:dyDescent="0.25" r="52" customHeight="1" ht="54">
      <c r="A52" s="23">
        <v>214.21</v>
      </c>
      <c r="B52" s="6">
        <f>IF(ISNUMBER(A52),
IF(AND(A52=INT(A52), MOD(A52, 10) = 0), 0,
IF(AND(A52=INT(A52), LEN(A52)=2), 1,
IF(AND(A52=INT(A52), LEN(A52)=3), 2,
LEN(A52) - FIND(".", A52) + 2)
)
),
"")</f>
      </c>
      <c r="C52" s="8">
        <f>_xlfn.CONCAT(C51," Roof")</f>
      </c>
      <c r="D52" s="8">
        <f>REPT("   ", B52*2) &amp; C52</f>
      </c>
      <c r="E52" s="7" t="s">
        <v>35</v>
      </c>
      <c r="F52" s="7" t="s">
        <v>36</v>
      </c>
      <c r="G52" s="10">
        <v>1</v>
      </c>
      <c r="H52" s="9"/>
      <c r="I52" s="9"/>
      <c r="J52" s="14"/>
      <c r="K52" s="14">
        <f>1200 *1.53</f>
      </c>
      <c r="L52" s="15" t="s">
        <v>74</v>
      </c>
      <c r="M52" s="8">
        <f>_xlfn.CONCAT(C52, " Volume")</f>
      </c>
      <c r="N52" s="14"/>
      <c r="O52" s="15" t="s">
        <v>76</v>
      </c>
      <c r="P52" s="14"/>
      <c r="Q52" s="14">
        <v>2024</v>
      </c>
      <c r="R52" s="15" t="s">
        <v>86</v>
      </c>
      <c r="S52" s="16" t="s">
        <v>87</v>
      </c>
      <c r="T52" s="16" t="s">
        <v>70</v>
      </c>
      <c r="U52" s="22" t="s">
        <v>71</v>
      </c>
      <c r="V52" s="15"/>
      <c r="W52" s="4" t="s">
        <v>44</v>
      </c>
      <c r="X52" s="12">
        <f>0.9*$I52</f>
      </c>
      <c r="Y52" s="12">
        <f>1.5*J52</f>
      </c>
      <c r="Z52" s="4" t="s">
        <v>45</v>
      </c>
      <c r="AA52" s="13">
        <f>0.9*K52</f>
      </c>
      <c r="AB52" s="13">
        <f>1.3*K52</f>
      </c>
      <c r="AC52" s="4" t="s">
        <v>45</v>
      </c>
      <c r="AD52" s="13">
        <v>0.1</v>
      </c>
      <c r="AE52" s="11">
        <v>1</v>
      </c>
      <c r="AF52" s="11">
        <v>0</v>
      </c>
      <c r="AG52" s="4" t="s">
        <v>46</v>
      </c>
    </row>
    <row x14ac:dyDescent="0.25" r="53" customHeight="1" ht="54">
      <c r="A53" s="23">
        <v>214.22</v>
      </c>
      <c r="B53" s="6">
        <f>IF(ISNUMBER(A53),
IF(AND(A53=INT(A53), MOD(A53, 10) = 0), 0,
IF(AND(A53=INT(A53), LEN(A53)=2), 1,
IF(AND(A53=INT(A53), LEN(A53)=3), 2,
LEN(A53) - FIND(".", A53) + 2)
)
),
"")</f>
      </c>
      <c r="C53" s="8">
        <f>_xlfn.CONCAT(C51," Basement")</f>
      </c>
      <c r="D53" s="8">
        <f>REPT("   ", B53*2) &amp; C53</f>
      </c>
      <c r="E53" s="7" t="s">
        <v>35</v>
      </c>
      <c r="F53" s="7" t="s">
        <v>36</v>
      </c>
      <c r="G53" s="10">
        <v>1</v>
      </c>
      <c r="H53" s="9"/>
      <c r="I53" s="9"/>
      <c r="J53" s="14"/>
      <c r="K53" s="14">
        <f>943.9*1.53</f>
      </c>
      <c r="L53" s="15" t="s">
        <v>74</v>
      </c>
      <c r="M53" s="8">
        <f>_xlfn.CONCAT(C53, " Volume")</f>
      </c>
      <c r="N53" s="14"/>
      <c r="O53" s="15" t="s">
        <v>76</v>
      </c>
      <c r="P53" s="14"/>
      <c r="Q53" s="14">
        <v>2024</v>
      </c>
      <c r="R53" s="15" t="s">
        <v>86</v>
      </c>
      <c r="S53" s="7"/>
      <c r="T53" s="7"/>
      <c r="U53" s="7"/>
      <c r="V53" s="15"/>
      <c r="W53" s="4" t="s">
        <v>44</v>
      </c>
      <c r="X53" s="12">
        <f>0.9*$I53</f>
      </c>
      <c r="Y53" s="12">
        <f>1.5*J53</f>
      </c>
      <c r="Z53" s="4" t="s">
        <v>45</v>
      </c>
      <c r="AA53" s="13">
        <f>0.9*K53</f>
      </c>
      <c r="AB53" s="13">
        <f>1.3*K53</f>
      </c>
      <c r="AC53" s="4" t="s">
        <v>45</v>
      </c>
      <c r="AD53" s="13">
        <v>0.1</v>
      </c>
      <c r="AE53" s="11">
        <v>1</v>
      </c>
      <c r="AF53" s="11">
        <v>0</v>
      </c>
      <c r="AG53" s="4" t="s">
        <v>46</v>
      </c>
    </row>
    <row x14ac:dyDescent="0.25" r="54" customHeight="1" ht="54">
      <c r="A54" s="23">
        <v>214.23</v>
      </c>
      <c r="B54" s="6">
        <f>IF(ISNUMBER(A54),
IF(AND(A54=INT(A54), MOD(A54, 10) = 0), 0,
IF(AND(A54=INT(A54), LEN(A54)=2), 1,
IF(AND(A54=INT(A54), LEN(A54)=3), 2,
LEN(A54) - FIND(".", A54) + 2)
)
),
"")</f>
      </c>
      <c r="C54" s="8">
        <f>_xlfn.CONCAT(C51," Walls")</f>
      </c>
      <c r="D54" s="8">
        <f>REPT("   ", B54*2) &amp; C54</f>
      </c>
      <c r="E54" s="7" t="s">
        <v>35</v>
      </c>
      <c r="F54" s="7" t="s">
        <v>36</v>
      </c>
      <c r="G54" s="10">
        <v>1</v>
      </c>
      <c r="H54" s="9"/>
      <c r="I54" s="9"/>
      <c r="J54" s="14"/>
      <c r="K54" s="14">
        <f>721.21*1.53</f>
      </c>
      <c r="L54" s="15" t="s">
        <v>74</v>
      </c>
      <c r="M54" s="8">
        <f>_xlfn.CONCAT(C54, " Volume")</f>
      </c>
      <c r="N54" s="14"/>
      <c r="O54" s="15" t="s">
        <v>76</v>
      </c>
      <c r="P54" s="14"/>
      <c r="Q54" s="14">
        <v>2024</v>
      </c>
      <c r="R54" s="15" t="s">
        <v>86</v>
      </c>
      <c r="S54" s="7"/>
      <c r="T54" s="7"/>
      <c r="U54" s="7"/>
      <c r="V54" s="15"/>
      <c r="W54" s="4" t="s">
        <v>44</v>
      </c>
      <c r="X54" s="12">
        <f>0.9*$I54</f>
      </c>
      <c r="Y54" s="12">
        <f>1.5*J54</f>
      </c>
      <c r="Z54" s="4" t="s">
        <v>45</v>
      </c>
      <c r="AA54" s="13">
        <f>0.9*K54</f>
      </c>
      <c r="AB54" s="13">
        <f>1.3*K54</f>
      </c>
      <c r="AC54" s="4" t="s">
        <v>45</v>
      </c>
      <c r="AD54" s="13">
        <v>0.1</v>
      </c>
      <c r="AE54" s="11">
        <v>1</v>
      </c>
      <c r="AF54" s="11">
        <v>0</v>
      </c>
      <c r="AG54" s="4" t="s">
        <v>46</v>
      </c>
    </row>
    <row x14ac:dyDescent="0.25" r="55" customHeight="1" ht="54">
      <c r="A55" s="23">
        <v>214.29</v>
      </c>
      <c r="B55" s="6">
        <f>IF(ISNUMBER(A55),
IF(AND(A55=INT(A55), MOD(A55, 10) = 0), 0,
IF(AND(A55=INT(A55), LEN(A55)=2), 1,
IF(AND(A55=INT(A55), LEN(A55)=3), 2,
LEN(A55) - FIND(".", A55) + 2)
)
),
"")</f>
      </c>
      <c r="C55" s="7" t="s">
        <v>88</v>
      </c>
      <c r="D55" s="8">
        <f>REPT("   ", B55*2) &amp; C55</f>
      </c>
      <c r="E55" s="7" t="s">
        <v>35</v>
      </c>
      <c r="F55" s="7" t="s">
        <v>36</v>
      </c>
      <c r="G55" s="10">
        <v>1</v>
      </c>
      <c r="H55" s="9"/>
      <c r="I55" s="9"/>
      <c r="J55" s="14"/>
      <c r="K55" s="14"/>
      <c r="L55" s="15" t="s">
        <v>74</v>
      </c>
      <c r="M55" s="8">
        <f>_xlfn.CONCAT(C51, " Volume")</f>
      </c>
      <c r="N55" s="14"/>
      <c r="O55" s="14"/>
      <c r="P55" s="14"/>
      <c r="Q55" s="14"/>
      <c r="R55" s="14"/>
      <c r="S55" s="19"/>
      <c r="T55" s="7"/>
      <c r="U55" s="24"/>
      <c r="V55" s="15"/>
      <c r="W55" s="4" t="s">
        <v>44</v>
      </c>
      <c r="X55" s="12">
        <f>0.9*$I55</f>
      </c>
      <c r="Y55" s="12">
        <f>1.5*J55</f>
      </c>
      <c r="Z55" s="4" t="s">
        <v>45</v>
      </c>
      <c r="AA55" s="11">
        <f>0.9*K55</f>
      </c>
      <c r="AB55" s="11">
        <f>1.3*K55</f>
      </c>
      <c r="AC55" s="4" t="s">
        <v>45</v>
      </c>
      <c r="AD55" s="13">
        <v>0.1</v>
      </c>
      <c r="AE55" s="11">
        <v>1</v>
      </c>
      <c r="AF55" s="11">
        <v>0</v>
      </c>
      <c r="AG55" s="4" t="s">
        <v>46</v>
      </c>
    </row>
    <row x14ac:dyDescent="0.25" r="56" customHeight="1" ht="25.5">
      <c r="A56" s="23">
        <v>214.6</v>
      </c>
      <c r="B56" s="6">
        <v>3</v>
      </c>
      <c r="C56" s="7" t="s">
        <v>100</v>
      </c>
      <c r="D56" s="8">
        <f>REPT("   ", B56*2) &amp; C56</f>
      </c>
      <c r="E56" s="9"/>
      <c r="F56" s="9"/>
      <c r="G56" s="10"/>
      <c r="H56" s="9"/>
      <c r="I56" s="9"/>
      <c r="J56" s="14"/>
      <c r="K56" s="14"/>
      <c r="L56" s="15"/>
      <c r="M56" s="7"/>
      <c r="N56" s="14"/>
      <c r="O56" s="15"/>
      <c r="P56" s="14"/>
      <c r="Q56" s="14"/>
      <c r="R56" s="15"/>
      <c r="S56" s="7"/>
      <c r="T56" s="7"/>
      <c r="U56" s="24"/>
      <c r="V56" s="15"/>
      <c r="W56" s="4"/>
      <c r="X56" s="12"/>
      <c r="Y56" s="12"/>
      <c r="Z56" s="4"/>
      <c r="AA56" s="11"/>
      <c r="AB56" s="11"/>
      <c r="AC56" s="4"/>
      <c r="AD56" s="13"/>
      <c r="AE56" s="11"/>
      <c r="AF56" s="11"/>
      <c r="AG56" s="4"/>
    </row>
    <row x14ac:dyDescent="0.25" r="57" customHeight="1" ht="54">
      <c r="A57" s="23">
        <v>214.61</v>
      </c>
      <c r="B57" s="6">
        <v>4</v>
      </c>
      <c r="C57" s="8">
        <f>_xlfn.CONCAT(C56," Roof")</f>
      </c>
      <c r="D57" s="8">
        <f>REPT("   ", B57*2) &amp; C57</f>
      </c>
      <c r="E57" s="7" t="s">
        <v>35</v>
      </c>
      <c r="F57" s="7" t="s">
        <v>36</v>
      </c>
      <c r="G57" s="10">
        <v>1</v>
      </c>
      <c r="H57" s="9"/>
      <c r="I57" s="9"/>
      <c r="J57" s="14"/>
      <c r="K57" s="14">
        <f>1200 *1.53</f>
      </c>
      <c r="L57" s="15" t="s">
        <v>74</v>
      </c>
      <c r="M57" s="8">
        <f>_xlfn.CONCAT(C57, " Volume")</f>
      </c>
      <c r="N57" s="14"/>
      <c r="O57" s="15" t="s">
        <v>76</v>
      </c>
      <c r="P57" s="14"/>
      <c r="Q57" s="14">
        <v>2024</v>
      </c>
      <c r="R57" s="15" t="s">
        <v>86</v>
      </c>
      <c r="S57" s="16" t="s">
        <v>87</v>
      </c>
      <c r="T57" s="16" t="s">
        <v>70</v>
      </c>
      <c r="U57" s="22" t="s">
        <v>71</v>
      </c>
      <c r="V57" s="15"/>
      <c r="W57" s="4" t="s">
        <v>44</v>
      </c>
      <c r="X57" s="12">
        <f>0.9*$I57</f>
      </c>
      <c r="Y57" s="12">
        <f>1.5*J57</f>
      </c>
      <c r="Z57" s="4" t="s">
        <v>45</v>
      </c>
      <c r="AA57" s="13">
        <f>0.9*K57</f>
      </c>
      <c r="AB57" s="13">
        <f>1.3*K57</f>
      </c>
      <c r="AC57" s="4" t="s">
        <v>45</v>
      </c>
      <c r="AD57" s="13">
        <v>0.1</v>
      </c>
      <c r="AE57" s="11">
        <v>1</v>
      </c>
      <c r="AF57" s="11">
        <v>0</v>
      </c>
      <c r="AG57" s="4" t="s">
        <v>46</v>
      </c>
    </row>
    <row x14ac:dyDescent="0.25" r="58" customHeight="1" ht="54">
      <c r="A58" s="23">
        <v>214.62</v>
      </c>
      <c r="B58" s="6">
        <f>IF(ISNUMBER(A58),
IF(AND(A58=INT(A58), MOD(A58, 10) = 0), 0,
IF(AND(A58=INT(A58), LEN(A58)=2), 1,
IF(AND(A58=INT(A58), LEN(A58)=3), 2,
LEN(A58) - FIND(".", A58) + 2)
)
),
"")</f>
      </c>
      <c r="C58" s="8">
        <f>_xlfn.CONCAT(C56," Basement")</f>
      </c>
      <c r="D58" s="8">
        <f>REPT("   ", B58*2) &amp; C58</f>
      </c>
      <c r="E58" s="7" t="s">
        <v>35</v>
      </c>
      <c r="F58" s="7" t="s">
        <v>36</v>
      </c>
      <c r="G58" s="10">
        <v>1</v>
      </c>
      <c r="H58" s="9"/>
      <c r="I58" s="9"/>
      <c r="J58" s="14"/>
      <c r="K58" s="14">
        <f>943.9*1.53</f>
      </c>
      <c r="L58" s="15" t="s">
        <v>74</v>
      </c>
      <c r="M58" s="8">
        <f>_xlfn.CONCAT(C58, " Volume")</f>
      </c>
      <c r="N58" s="14"/>
      <c r="O58" s="15" t="s">
        <v>76</v>
      </c>
      <c r="P58" s="14"/>
      <c r="Q58" s="14">
        <v>2024</v>
      </c>
      <c r="R58" s="15" t="s">
        <v>86</v>
      </c>
      <c r="S58" s="7"/>
      <c r="T58" s="7"/>
      <c r="U58" s="7"/>
      <c r="V58" s="15"/>
      <c r="W58" s="4" t="s">
        <v>44</v>
      </c>
      <c r="X58" s="12">
        <f>0.9*$I58</f>
      </c>
      <c r="Y58" s="12">
        <f>1.5*J58</f>
      </c>
      <c r="Z58" s="4" t="s">
        <v>45</v>
      </c>
      <c r="AA58" s="13">
        <f>0.9*K58</f>
      </c>
      <c r="AB58" s="13">
        <f>1.3*K58</f>
      </c>
      <c r="AC58" s="4" t="s">
        <v>45</v>
      </c>
      <c r="AD58" s="13">
        <v>0.1</v>
      </c>
      <c r="AE58" s="11">
        <v>1</v>
      </c>
      <c r="AF58" s="11">
        <v>0</v>
      </c>
      <c r="AG58" s="4" t="s">
        <v>46</v>
      </c>
    </row>
    <row x14ac:dyDescent="0.25" r="59" customHeight="1" ht="54">
      <c r="A59" s="23">
        <v>214.63</v>
      </c>
      <c r="B59" s="6">
        <f>IF(ISNUMBER(A59),
IF(AND(A59=INT(A59), MOD(A59, 10) = 0), 0,
IF(AND(A59=INT(A59), LEN(A59)=2), 1,
IF(AND(A59=INT(A59), LEN(A59)=3), 2,
LEN(A59) - FIND(".", A59) + 2)
)
),
"")</f>
      </c>
      <c r="C59" s="8">
        <f>_xlfn.CONCAT(C56," Walls")</f>
      </c>
      <c r="D59" s="8">
        <f>REPT("   ", B59*2) &amp; C59</f>
      </c>
      <c r="E59" s="7" t="s">
        <v>35</v>
      </c>
      <c r="F59" s="7" t="s">
        <v>36</v>
      </c>
      <c r="G59" s="10">
        <v>1</v>
      </c>
      <c r="H59" s="9"/>
      <c r="I59" s="9"/>
      <c r="J59" s="14"/>
      <c r="K59" s="14">
        <f>721.21*1.53</f>
      </c>
      <c r="L59" s="15" t="s">
        <v>74</v>
      </c>
      <c r="M59" s="8">
        <f>_xlfn.CONCAT(C59, " Volume")</f>
      </c>
      <c r="N59" s="14"/>
      <c r="O59" s="15" t="s">
        <v>76</v>
      </c>
      <c r="P59" s="14"/>
      <c r="Q59" s="14">
        <v>2024</v>
      </c>
      <c r="R59" s="15" t="s">
        <v>86</v>
      </c>
      <c r="S59" s="7"/>
      <c r="T59" s="7"/>
      <c r="U59" s="7"/>
      <c r="V59" s="15"/>
      <c r="W59" s="4" t="s">
        <v>44</v>
      </c>
      <c r="X59" s="12">
        <f>0.9*$I59</f>
      </c>
      <c r="Y59" s="12">
        <f>1.5*J59</f>
      </c>
      <c r="Z59" s="4" t="s">
        <v>45</v>
      </c>
      <c r="AA59" s="13">
        <f>0.9*K59</f>
      </c>
      <c r="AB59" s="13">
        <f>1.3*K59</f>
      </c>
      <c r="AC59" s="4" t="s">
        <v>45</v>
      </c>
      <c r="AD59" s="13">
        <v>0.1</v>
      </c>
      <c r="AE59" s="11">
        <v>1</v>
      </c>
      <c r="AF59" s="11">
        <v>0</v>
      </c>
      <c r="AG59" s="4" t="s">
        <v>46</v>
      </c>
    </row>
    <row x14ac:dyDescent="0.25" r="60" customHeight="1" ht="67.5">
      <c r="A60" s="23">
        <v>214.69</v>
      </c>
      <c r="B60" s="6">
        <f>IF(ISNUMBER(A60),
IF(AND(A60=INT(A60), MOD(A60, 10) = 0), 0,
IF(AND(A60=INT(A60), LEN(A60)=2), 1,
IF(AND(A60=INT(A60), LEN(A60)=3), 2,
LEN(A60) - FIND(".", A60) + 2)
)
),
"")</f>
      </c>
      <c r="C60" s="7" t="s">
        <v>88</v>
      </c>
      <c r="D60" s="8">
        <f>REPT("   ", B60*2) &amp; C60</f>
      </c>
      <c r="E60" s="7" t="s">
        <v>35</v>
      </c>
      <c r="F60" s="7" t="s">
        <v>36</v>
      </c>
      <c r="G60" s="10">
        <v>1</v>
      </c>
      <c r="H60" s="9"/>
      <c r="I60" s="9"/>
      <c r="J60" s="14"/>
      <c r="K60" s="14"/>
      <c r="L60" s="15" t="s">
        <v>74</v>
      </c>
      <c r="M60" s="8">
        <f>_xlfn.CONCAT(C56, " Volume")</f>
      </c>
      <c r="N60" s="14"/>
      <c r="O60" s="15" t="s">
        <v>76</v>
      </c>
      <c r="P60" s="14"/>
      <c r="Q60" s="14"/>
      <c r="R60" s="15"/>
      <c r="S60" s="7"/>
      <c r="T60" s="7"/>
      <c r="U60" s="24"/>
      <c r="V60" s="15"/>
      <c r="W60" s="4" t="s">
        <v>44</v>
      </c>
      <c r="X60" s="12">
        <f>0.9*$I60</f>
      </c>
      <c r="Y60" s="12">
        <f>1.5*J60</f>
      </c>
      <c r="Z60" s="4" t="s">
        <v>45</v>
      </c>
      <c r="AA60" s="11">
        <f>0.9*K60</f>
      </c>
      <c r="AB60" s="11">
        <f>1.3*K60</f>
      </c>
      <c r="AC60" s="4" t="s">
        <v>45</v>
      </c>
      <c r="AD60" s="13">
        <v>0.1</v>
      </c>
      <c r="AE60" s="11">
        <v>1</v>
      </c>
      <c r="AF60" s="11">
        <v>0</v>
      </c>
      <c r="AG60" s="4" t="s">
        <v>46</v>
      </c>
    </row>
    <row x14ac:dyDescent="0.25" r="61" customHeight="1" ht="15">
      <c r="A61" s="23">
        <v>214.7</v>
      </c>
      <c r="B61" s="6">
        <f>IF(ISNUMBER(A61),
IF(AND(A61=INT(A61), MOD(A61, 10) = 0), 0,
IF(AND(A61=INT(A61), LEN(A61)=2), 1,
IF(AND(A61=INT(A61), LEN(A61)=3), 2,
LEN(A61) - FIND(".", A61) + 2)
)
),
"")</f>
      </c>
      <c r="C61" s="7" t="s">
        <v>101</v>
      </c>
      <c r="D61" s="8">
        <f>REPT("   ", B61*2) &amp; C61</f>
      </c>
      <c r="E61" s="9"/>
      <c r="F61" s="9"/>
      <c r="G61" s="10"/>
      <c r="H61" s="9"/>
      <c r="I61" s="9"/>
      <c r="J61" s="14"/>
      <c r="K61" s="14"/>
      <c r="L61" s="15"/>
      <c r="M61" s="7"/>
      <c r="N61" s="14"/>
      <c r="O61" s="15"/>
      <c r="P61" s="14"/>
      <c r="Q61" s="14"/>
      <c r="R61" s="15"/>
      <c r="S61" s="7"/>
      <c r="T61" s="7"/>
      <c r="U61" s="24"/>
      <c r="V61" s="15"/>
      <c r="W61" s="4"/>
      <c r="X61" s="12"/>
      <c r="Y61" s="12"/>
      <c r="Z61" s="4"/>
      <c r="AA61" s="11"/>
      <c r="AB61" s="11"/>
      <c r="AC61" s="4"/>
      <c r="AD61" s="13"/>
      <c r="AE61" s="11"/>
      <c r="AF61" s="11"/>
      <c r="AG61" s="4"/>
    </row>
    <row x14ac:dyDescent="0.25" r="62" customHeight="1" ht="40.5">
      <c r="A62" s="23">
        <v>214.71</v>
      </c>
      <c r="B62" s="6">
        <f>IF(ISNUMBER(A62),
IF(AND(A62=INT(A62), MOD(A62, 10) = 0), 0,
IF(AND(A62=INT(A62), LEN(A62)=2), 1,
IF(AND(A62=INT(A62), LEN(A62)=3), 2,
LEN(A62) - FIND(".", A62) + 2)
)
),
"")</f>
      </c>
      <c r="C62" s="8">
        <f>_xlfn.CONCAT(C61," Roof")</f>
      </c>
      <c r="D62" s="8">
        <f>REPT("   ", B62*2) &amp; C62</f>
      </c>
      <c r="E62" s="7" t="s">
        <v>35</v>
      </c>
      <c r="F62" s="7" t="s">
        <v>36</v>
      </c>
      <c r="G62" s="10">
        <v>1</v>
      </c>
      <c r="H62" s="9"/>
      <c r="I62" s="9"/>
      <c r="J62" s="14"/>
      <c r="K62" s="14">
        <f>1200</f>
      </c>
      <c r="L62" s="15" t="s">
        <v>74</v>
      </c>
      <c r="M62" s="8">
        <f>_xlfn.CONCAT(C62, " Volume")</f>
      </c>
      <c r="N62" s="14"/>
      <c r="O62" s="15" t="s">
        <v>76</v>
      </c>
      <c r="P62" s="14"/>
      <c r="Q62" s="14">
        <v>2024</v>
      </c>
      <c r="R62" s="15" t="s">
        <v>86</v>
      </c>
      <c r="S62" s="16" t="s">
        <v>87</v>
      </c>
      <c r="T62" s="16" t="s">
        <v>70</v>
      </c>
      <c r="U62" s="22" t="s">
        <v>71</v>
      </c>
      <c r="V62" s="15"/>
      <c r="W62" s="4" t="s">
        <v>44</v>
      </c>
      <c r="X62" s="12">
        <f>0.9*$I62</f>
      </c>
      <c r="Y62" s="12">
        <f>1.5*J62</f>
      </c>
      <c r="Z62" s="4" t="s">
        <v>45</v>
      </c>
      <c r="AA62" s="11">
        <f>0.9*K62</f>
      </c>
      <c r="AB62" s="11">
        <f>1.3*K62</f>
      </c>
      <c r="AC62" s="4" t="s">
        <v>45</v>
      </c>
      <c r="AD62" s="13">
        <v>0.1</v>
      </c>
      <c r="AE62" s="11">
        <v>1</v>
      </c>
      <c r="AF62" s="11">
        <v>0</v>
      </c>
      <c r="AG62" s="4" t="s">
        <v>46</v>
      </c>
    </row>
    <row x14ac:dyDescent="0.25" r="63" customHeight="1" ht="40.5">
      <c r="A63" s="23">
        <v>214.72</v>
      </c>
      <c r="B63" s="6">
        <f>IF(ISNUMBER(A63),
IF(AND(A63=INT(A63), MOD(A63, 10) = 0), 0,
IF(AND(A63=INT(A63), LEN(A63)=2), 1,
IF(AND(A63=INT(A63), LEN(A63)=3), 2,
LEN(A63) - FIND(".", A63) + 2)
)
),
"")</f>
      </c>
      <c r="C63" s="8">
        <f>_xlfn.CONCAT(C61," Basement")</f>
      </c>
      <c r="D63" s="8">
        <f>REPT("   ", B63*2) &amp; C63</f>
      </c>
      <c r="E63" s="7" t="s">
        <v>35</v>
      </c>
      <c r="F63" s="7" t="s">
        <v>36</v>
      </c>
      <c r="G63" s="10">
        <v>1</v>
      </c>
      <c r="H63" s="9"/>
      <c r="I63" s="9"/>
      <c r="J63" s="14"/>
      <c r="K63" s="14">
        <f>943.9</f>
      </c>
      <c r="L63" s="15" t="s">
        <v>74</v>
      </c>
      <c r="M63" s="8">
        <f>_xlfn.CONCAT(C63, " Volume")</f>
      </c>
      <c r="N63" s="14"/>
      <c r="O63" s="15" t="s">
        <v>76</v>
      </c>
      <c r="P63" s="14"/>
      <c r="Q63" s="14">
        <v>2024</v>
      </c>
      <c r="R63" s="15" t="s">
        <v>86</v>
      </c>
      <c r="S63" s="7"/>
      <c r="T63" s="7"/>
      <c r="U63" s="7"/>
      <c r="V63" s="15"/>
      <c r="W63" s="4" t="s">
        <v>44</v>
      </c>
      <c r="X63" s="12">
        <f>0.9*$I63</f>
      </c>
      <c r="Y63" s="12">
        <f>1.5*J63</f>
      </c>
      <c r="Z63" s="4" t="s">
        <v>45</v>
      </c>
      <c r="AA63" s="13">
        <f>0.9*K63</f>
      </c>
      <c r="AB63" s="13">
        <f>1.3*K63</f>
      </c>
      <c r="AC63" s="4" t="s">
        <v>45</v>
      </c>
      <c r="AD63" s="13">
        <v>0.1</v>
      </c>
      <c r="AE63" s="11">
        <v>1</v>
      </c>
      <c r="AF63" s="11">
        <v>0</v>
      </c>
      <c r="AG63" s="4" t="s">
        <v>46</v>
      </c>
    </row>
    <row x14ac:dyDescent="0.25" r="64" customHeight="1" ht="40.5">
      <c r="A64" s="23">
        <v>214.73</v>
      </c>
      <c r="B64" s="6">
        <f>IF(ISNUMBER(A64),
IF(AND(A64=INT(A64), MOD(A64, 10) = 0), 0,
IF(AND(A64=INT(A64), LEN(A64)=2), 1,
IF(AND(A64=INT(A64), LEN(A64)=3), 2,
LEN(A64) - FIND(".", A64) + 2)
)
),
"")</f>
      </c>
      <c r="C64" s="8">
        <f>_xlfn.CONCAT(C61," Walls")</f>
      </c>
      <c r="D64" s="8">
        <f>REPT("   ", B64*2) &amp; C64</f>
      </c>
      <c r="E64" s="7" t="s">
        <v>35</v>
      </c>
      <c r="F64" s="7" t="s">
        <v>36</v>
      </c>
      <c r="G64" s="10">
        <v>1</v>
      </c>
      <c r="H64" s="9"/>
      <c r="I64" s="9"/>
      <c r="J64" s="14"/>
      <c r="K64" s="14">
        <f>721.21</f>
      </c>
      <c r="L64" s="15" t="s">
        <v>74</v>
      </c>
      <c r="M64" s="8">
        <f>_xlfn.CONCAT(C64, " Volume")</f>
      </c>
      <c r="N64" s="14"/>
      <c r="O64" s="15" t="s">
        <v>76</v>
      </c>
      <c r="P64" s="14"/>
      <c r="Q64" s="14">
        <v>2024</v>
      </c>
      <c r="R64" s="15" t="s">
        <v>86</v>
      </c>
      <c r="S64" s="7"/>
      <c r="T64" s="7"/>
      <c r="U64" s="7"/>
      <c r="V64" s="15"/>
      <c r="W64" s="4" t="s">
        <v>44</v>
      </c>
      <c r="X64" s="12">
        <f>0.9*$I64</f>
      </c>
      <c r="Y64" s="12">
        <f>1.5*J64</f>
      </c>
      <c r="Z64" s="4" t="s">
        <v>45</v>
      </c>
      <c r="AA64" s="13">
        <f>0.9*K64</f>
      </c>
      <c r="AB64" s="13">
        <f>1.3*K64</f>
      </c>
      <c r="AC64" s="4" t="s">
        <v>45</v>
      </c>
      <c r="AD64" s="13">
        <v>0.1</v>
      </c>
      <c r="AE64" s="11">
        <v>1</v>
      </c>
      <c r="AF64" s="11">
        <v>0</v>
      </c>
      <c r="AG64" s="4" t="s">
        <v>46</v>
      </c>
    </row>
    <row x14ac:dyDescent="0.25" r="65" customHeight="1" ht="40.5">
      <c r="A65" s="23">
        <v>214.79</v>
      </c>
      <c r="B65" s="6">
        <f>IF(ISNUMBER(A65),
IF(AND(A65=INT(A65), MOD(A65, 10) = 0), 0,
IF(AND(A65=INT(A65), LEN(A65)=2), 1,
IF(AND(A65=INT(A65), LEN(A65)=3), 2,
LEN(A65) - FIND(".", A65) + 2)
)
),
"")</f>
      </c>
      <c r="C65" s="7" t="s">
        <v>88</v>
      </c>
      <c r="D65" s="8">
        <f>REPT("   ", B65*2) &amp; C65</f>
      </c>
      <c r="E65" s="7" t="s">
        <v>35</v>
      </c>
      <c r="F65" s="7" t="s">
        <v>36</v>
      </c>
      <c r="G65" s="10">
        <v>1</v>
      </c>
      <c r="H65" s="9"/>
      <c r="I65" s="9"/>
      <c r="J65" s="14"/>
      <c r="K65" s="14"/>
      <c r="L65" s="15" t="s">
        <v>74</v>
      </c>
      <c r="M65" s="8">
        <f>_xlfn.CONCAT(C61, " Volume")</f>
      </c>
      <c r="N65" s="14"/>
      <c r="O65" s="15" t="s">
        <v>76</v>
      </c>
      <c r="P65" s="14"/>
      <c r="Q65" s="14"/>
      <c r="R65" s="15"/>
      <c r="S65" s="7"/>
      <c r="T65" s="7"/>
      <c r="U65" s="24"/>
      <c r="V65" s="15"/>
      <c r="W65" s="4" t="s">
        <v>44</v>
      </c>
      <c r="X65" s="12">
        <f>0.9*$I65</f>
      </c>
      <c r="Y65" s="12">
        <f>1.5*J65</f>
      </c>
      <c r="Z65" s="4" t="s">
        <v>45</v>
      </c>
      <c r="AA65" s="11">
        <f>0.9*K65</f>
      </c>
      <c r="AB65" s="11">
        <f>1.3*K65</f>
      </c>
      <c r="AC65" s="4" t="s">
        <v>45</v>
      </c>
      <c r="AD65" s="13">
        <v>0.1</v>
      </c>
      <c r="AE65" s="11">
        <v>1</v>
      </c>
      <c r="AF65" s="11">
        <v>0</v>
      </c>
      <c r="AG65" s="4" t="s">
        <v>46</v>
      </c>
    </row>
    <row x14ac:dyDescent="0.25" r="66" customHeight="1" ht="15">
      <c r="A66" s="23">
        <v>214.8</v>
      </c>
      <c r="B66" s="6">
        <f>IF(ISNUMBER(A66),
IF(AND(A66=INT(A66), MOD(A66, 10) = 0), 0,
IF(AND(A66=INT(A66), LEN(A66)=2), 1,
IF(AND(A66=INT(A66), LEN(A66)=3), 2,
LEN(A66) - FIND(".", A66) + 2)
)
),
"")</f>
      </c>
      <c r="C66" s="7" t="s">
        <v>102</v>
      </c>
      <c r="D66" s="8">
        <f>REPT("   ", B66*2) &amp; C66</f>
      </c>
      <c r="E66" s="9"/>
      <c r="F66" s="9"/>
      <c r="G66" s="10"/>
      <c r="H66" s="9"/>
      <c r="I66" s="9"/>
      <c r="J66" s="14"/>
      <c r="K66" s="14"/>
      <c r="L66" s="15"/>
      <c r="M66" s="7"/>
      <c r="N66" s="14"/>
      <c r="O66" s="15"/>
      <c r="P66" s="14"/>
      <c r="Q66" s="14"/>
      <c r="R66" s="15"/>
      <c r="S66" s="7"/>
      <c r="T66" s="7"/>
      <c r="U66" s="24"/>
      <c r="V66" s="15"/>
      <c r="W66" s="4"/>
      <c r="X66" s="12"/>
      <c r="Y66" s="12"/>
      <c r="Z66" s="4"/>
      <c r="AA66" s="11"/>
      <c r="AB66" s="11"/>
      <c r="AC66" s="4"/>
      <c r="AD66" s="13"/>
      <c r="AE66" s="11"/>
      <c r="AF66" s="11"/>
      <c r="AG66" s="4"/>
    </row>
    <row x14ac:dyDescent="0.25" r="67" customHeight="1" ht="40.5">
      <c r="A67" s="23">
        <v>214.81</v>
      </c>
      <c r="B67" s="6">
        <f>IF(ISNUMBER(A67),
IF(AND(A67=INT(A67), MOD(A67, 10) = 0), 0,
IF(AND(A67=INT(A67), LEN(A67)=2), 1,
IF(AND(A67=INT(A67), LEN(A67)=3), 2,
LEN(A67) - FIND(".", A67) + 2)
)
),
"")</f>
      </c>
      <c r="C67" s="8">
        <f>_xlfn.CONCAT(C66," Roof")</f>
      </c>
      <c r="D67" s="8">
        <f>REPT("   ", B67*2) &amp; C67</f>
      </c>
      <c r="E67" s="7" t="s">
        <v>35</v>
      </c>
      <c r="F67" s="7" t="s">
        <v>36</v>
      </c>
      <c r="G67" s="10">
        <v>1</v>
      </c>
      <c r="H67" s="9"/>
      <c r="I67" s="9"/>
      <c r="J67" s="14"/>
      <c r="K67" s="14">
        <f>1200</f>
      </c>
      <c r="L67" s="15" t="s">
        <v>74</v>
      </c>
      <c r="M67" s="8">
        <f>_xlfn.CONCAT(C67, " Volume")</f>
      </c>
      <c r="N67" s="14"/>
      <c r="O67" s="15" t="s">
        <v>76</v>
      </c>
      <c r="P67" s="14"/>
      <c r="Q67" s="14">
        <v>2024</v>
      </c>
      <c r="R67" s="15" t="s">
        <v>86</v>
      </c>
      <c r="S67" s="16" t="s">
        <v>87</v>
      </c>
      <c r="T67" s="16" t="s">
        <v>70</v>
      </c>
      <c r="U67" s="22" t="s">
        <v>71</v>
      </c>
      <c r="V67" s="15"/>
      <c r="W67" s="4" t="s">
        <v>44</v>
      </c>
      <c r="X67" s="12">
        <f>0.9*$I67</f>
      </c>
      <c r="Y67" s="12">
        <f>1.5*J67</f>
      </c>
      <c r="Z67" s="4" t="s">
        <v>45</v>
      </c>
      <c r="AA67" s="11">
        <f>0.9*K67</f>
      </c>
      <c r="AB67" s="11">
        <f>1.3*K67</f>
      </c>
      <c r="AC67" s="4" t="s">
        <v>45</v>
      </c>
      <c r="AD67" s="13">
        <v>0.1</v>
      </c>
      <c r="AE67" s="11">
        <v>1</v>
      </c>
      <c r="AF67" s="11">
        <v>0</v>
      </c>
      <c r="AG67" s="4" t="s">
        <v>46</v>
      </c>
    </row>
    <row x14ac:dyDescent="0.25" r="68" customHeight="1" ht="40.5">
      <c r="A68" s="23">
        <v>214.82</v>
      </c>
      <c r="B68" s="6">
        <f>IF(ISNUMBER(A68),
IF(AND(A68=INT(A68), MOD(A68, 10) = 0), 0,
IF(AND(A68=INT(A68), LEN(A68)=2), 1,
IF(AND(A68=INT(A68), LEN(A68)=3), 2,
LEN(A68) - FIND(".", A68) + 2)
)
),
"")</f>
      </c>
      <c r="C68" s="8">
        <f>_xlfn.CONCAT(C66," Basement")</f>
      </c>
      <c r="D68" s="8">
        <f>REPT("   ", B68*2) &amp; C68</f>
      </c>
      <c r="E68" s="7" t="s">
        <v>35</v>
      </c>
      <c r="F68" s="7" t="s">
        <v>36</v>
      </c>
      <c r="G68" s="10">
        <v>1</v>
      </c>
      <c r="H68" s="9"/>
      <c r="I68" s="9"/>
      <c r="J68" s="14"/>
      <c r="K68" s="14">
        <f>943.9</f>
      </c>
      <c r="L68" s="15" t="s">
        <v>74</v>
      </c>
      <c r="M68" s="8">
        <f>_xlfn.CONCAT(C68, " Volume")</f>
      </c>
      <c r="N68" s="14"/>
      <c r="O68" s="15" t="s">
        <v>76</v>
      </c>
      <c r="P68" s="14"/>
      <c r="Q68" s="14">
        <v>2024</v>
      </c>
      <c r="R68" s="15" t="s">
        <v>86</v>
      </c>
      <c r="S68" s="7"/>
      <c r="T68" s="7"/>
      <c r="U68" s="7"/>
      <c r="V68" s="15"/>
      <c r="W68" s="4" t="s">
        <v>44</v>
      </c>
      <c r="X68" s="12">
        <f>0.9*$I68</f>
      </c>
      <c r="Y68" s="12">
        <f>1.5*J68</f>
      </c>
      <c r="Z68" s="4" t="s">
        <v>45</v>
      </c>
      <c r="AA68" s="13">
        <f>0.9*K68</f>
      </c>
      <c r="AB68" s="13">
        <f>1.3*K68</f>
      </c>
      <c r="AC68" s="4" t="s">
        <v>45</v>
      </c>
      <c r="AD68" s="13">
        <v>0.1</v>
      </c>
      <c r="AE68" s="11">
        <v>1</v>
      </c>
      <c r="AF68" s="11">
        <v>0</v>
      </c>
      <c r="AG68" s="4" t="s">
        <v>46</v>
      </c>
    </row>
    <row x14ac:dyDescent="0.25" r="69" customHeight="1" ht="40.5">
      <c r="A69" s="23">
        <v>214.83</v>
      </c>
      <c r="B69" s="6">
        <f>IF(ISNUMBER(A69),
IF(AND(A69=INT(A69), MOD(A69, 10) = 0), 0,
IF(AND(A69=INT(A69), LEN(A69)=2), 1,
IF(AND(A69=INT(A69), LEN(A69)=3), 2,
LEN(A69) - FIND(".", A69) + 2)
)
),
"")</f>
      </c>
      <c r="C69" s="8">
        <f>_xlfn.CONCAT(C66," Walls")</f>
      </c>
      <c r="D69" s="8">
        <f>REPT("   ", B69*2) &amp; C69</f>
      </c>
      <c r="E69" s="7" t="s">
        <v>35</v>
      </c>
      <c r="F69" s="7" t="s">
        <v>36</v>
      </c>
      <c r="G69" s="10">
        <v>1</v>
      </c>
      <c r="H69" s="9"/>
      <c r="I69" s="9"/>
      <c r="J69" s="14"/>
      <c r="K69" s="14">
        <f>721.21</f>
      </c>
      <c r="L69" s="15" t="s">
        <v>74</v>
      </c>
      <c r="M69" s="8">
        <f>_xlfn.CONCAT(C69, " Volume")</f>
      </c>
      <c r="N69" s="14"/>
      <c r="O69" s="15" t="s">
        <v>76</v>
      </c>
      <c r="P69" s="14"/>
      <c r="Q69" s="14">
        <v>2024</v>
      </c>
      <c r="R69" s="15" t="s">
        <v>86</v>
      </c>
      <c r="S69" s="7"/>
      <c r="T69" s="7"/>
      <c r="U69" s="7"/>
      <c r="V69" s="15"/>
      <c r="W69" s="4" t="s">
        <v>44</v>
      </c>
      <c r="X69" s="12">
        <f>0.9*$I69</f>
      </c>
      <c r="Y69" s="12">
        <f>1.5*J69</f>
      </c>
      <c r="Z69" s="4" t="s">
        <v>45</v>
      </c>
      <c r="AA69" s="13">
        <f>0.9*K69</f>
      </c>
      <c r="AB69" s="13">
        <f>1.3*K69</f>
      </c>
      <c r="AC69" s="4" t="s">
        <v>45</v>
      </c>
      <c r="AD69" s="13">
        <v>0.1</v>
      </c>
      <c r="AE69" s="11">
        <v>1</v>
      </c>
      <c r="AF69" s="11">
        <v>0</v>
      </c>
      <c r="AG69" s="4" t="s">
        <v>46</v>
      </c>
    </row>
    <row x14ac:dyDescent="0.25" r="70" customHeight="1" ht="40.5">
      <c r="A70" s="23">
        <v>214.89</v>
      </c>
      <c r="B70" s="6">
        <f>IF(ISNUMBER(A70),
IF(AND(A70=INT(A70), MOD(A70, 10) = 0), 0,
IF(AND(A70=INT(A70), LEN(A70)=2), 1,
IF(AND(A70=INT(A70), LEN(A70)=3), 2,
LEN(A70) - FIND(".", A70) + 2)
)
),
"")</f>
      </c>
      <c r="C70" s="7" t="s">
        <v>88</v>
      </c>
      <c r="D70" s="8">
        <f>REPT("   ", B70*2) &amp; C70</f>
      </c>
      <c r="E70" s="7" t="s">
        <v>35</v>
      </c>
      <c r="F70" s="7" t="s">
        <v>36</v>
      </c>
      <c r="G70" s="10">
        <v>1</v>
      </c>
      <c r="H70" s="9"/>
      <c r="I70" s="9"/>
      <c r="J70" s="14"/>
      <c r="K70" s="14"/>
      <c r="L70" s="15" t="s">
        <v>74</v>
      </c>
      <c r="M70" s="8">
        <f>_xlfn.CONCAT(C66, " Volume")</f>
      </c>
      <c r="N70" s="14"/>
      <c r="O70" s="15" t="s">
        <v>76</v>
      </c>
      <c r="P70" s="14"/>
      <c r="Q70" s="14"/>
      <c r="R70" s="15"/>
      <c r="S70" s="7"/>
      <c r="T70" s="7"/>
      <c r="U70" s="24"/>
      <c r="V70" s="15"/>
      <c r="W70" s="4" t="s">
        <v>44</v>
      </c>
      <c r="X70" s="12">
        <f>0.9*$I70</f>
      </c>
      <c r="Y70" s="12">
        <f>1.5*J70</f>
      </c>
      <c r="Z70" s="4" t="s">
        <v>45</v>
      </c>
      <c r="AA70" s="11">
        <f>0.9*K70</f>
      </c>
      <c r="AB70" s="11">
        <f>1.3*K70</f>
      </c>
      <c r="AC70" s="4" t="s">
        <v>45</v>
      </c>
      <c r="AD70" s="13">
        <v>0.1</v>
      </c>
      <c r="AE70" s="11">
        <v>1</v>
      </c>
      <c r="AF70" s="11">
        <v>0</v>
      </c>
      <c r="AG70" s="4" t="s">
        <v>46</v>
      </c>
    </row>
    <row x14ac:dyDescent="0.25" r="71" customHeight="1" ht="39">
      <c r="A71" s="23">
        <v>214.9</v>
      </c>
      <c r="B71" s="6">
        <f>IF(ISNUMBER(A71),
IF(AND(A71=INT(A71), MOD(A71, 10) = 0), 0,
IF(AND(A71=INT(A71), LEN(A71)=2), 1,
IF(AND(A71=INT(A71), LEN(A71)=3), 2,
LEN(A71) - FIND(".", A71) + 2)
)
),
"")</f>
      </c>
      <c r="C71" s="7" t="s">
        <v>78</v>
      </c>
      <c r="D71" s="8">
        <f>REPT("   ", B71*2) &amp; C71</f>
      </c>
      <c r="E71" s="7" t="s">
        <v>35</v>
      </c>
      <c r="F71" s="7" t="s">
        <v>36</v>
      </c>
      <c r="G71" s="10">
        <v>1</v>
      </c>
      <c r="H71" s="9"/>
      <c r="I71" s="9"/>
      <c r="J71" s="14"/>
      <c r="K71" s="14">
        <f>75/0.3048</f>
      </c>
      <c r="L71" s="15" t="s">
        <v>79</v>
      </c>
      <c r="M71" s="15" t="s">
        <v>103</v>
      </c>
      <c r="N71" s="14"/>
      <c r="O71" s="15"/>
      <c r="P71" s="14"/>
      <c r="Q71" s="14">
        <v>2009</v>
      </c>
      <c r="R71" s="15" t="s">
        <v>68</v>
      </c>
      <c r="S71" s="7" t="s">
        <v>81</v>
      </c>
      <c r="T71" s="7" t="s">
        <v>82</v>
      </c>
      <c r="U71" s="25" t="s">
        <v>83</v>
      </c>
      <c r="V71" s="15"/>
      <c r="W71" s="4" t="s">
        <v>44</v>
      </c>
      <c r="X71" s="12">
        <f>0.9*$J71</f>
      </c>
      <c r="Y71" s="12">
        <f>1.5*J71</f>
      </c>
      <c r="Z71" s="4" t="s">
        <v>45</v>
      </c>
      <c r="AA71" s="13">
        <f>0.9*K71</f>
      </c>
      <c r="AB71" s="13">
        <f>1.3*K71</f>
      </c>
      <c r="AC71" s="4" t="s">
        <v>45</v>
      </c>
      <c r="AD71" s="13">
        <v>0.1</v>
      </c>
      <c r="AE71" s="11">
        <v>1</v>
      </c>
      <c r="AF71" s="11">
        <v>0</v>
      </c>
      <c r="AG71" s="4" t="s">
        <v>46</v>
      </c>
    </row>
    <row x14ac:dyDescent="0.25" r="72" customHeight="1" ht="15">
      <c r="A72" s="20">
        <v>215</v>
      </c>
      <c r="B72" s="6">
        <f>IF(ISNUMBER(A72),
IF(AND(A72=INT(A72), MOD(A72, 10) = 0), 0,
IF(AND(A72=INT(A72), LEN(A72)=2), 1,
IF(AND(A72=INT(A72), LEN(A72)=3), 2,
LEN(A72) - FIND(".", A72) + 2)
)
),
"")</f>
      </c>
      <c r="C72" s="7" t="s">
        <v>104</v>
      </c>
      <c r="D72" s="8">
        <f>REPT("   ", B72*2) &amp; C72</f>
      </c>
      <c r="E72" s="9"/>
      <c r="F72" s="9"/>
      <c r="G72" s="10"/>
      <c r="H72" s="9"/>
      <c r="I72" s="9"/>
      <c r="J72" s="14"/>
      <c r="K72" s="14"/>
      <c r="L72" s="14"/>
      <c r="M72" s="19"/>
      <c r="N72" s="14"/>
      <c r="O72" s="14"/>
      <c r="P72" s="14"/>
      <c r="Q72" s="14"/>
      <c r="R72" s="14"/>
      <c r="S72" s="19"/>
      <c r="T72" s="7"/>
      <c r="U72" s="24"/>
      <c r="V72" s="15"/>
      <c r="W72" s="4"/>
      <c r="X72" s="12"/>
      <c r="Y72" s="12"/>
      <c r="Z72" s="4"/>
      <c r="AA72" s="11"/>
      <c r="AB72" s="11"/>
      <c r="AC72" s="4"/>
      <c r="AD72" s="13"/>
      <c r="AE72" s="11"/>
      <c r="AF72" s="11"/>
      <c r="AG72" s="4"/>
    </row>
    <row x14ac:dyDescent="0.25" r="73" customHeight="1" ht="25.5">
      <c r="A73" s="23">
        <v>215.1</v>
      </c>
      <c r="B73" s="6">
        <f>IF(ISNUMBER(A73),
IF(AND(A73=INT(A73), MOD(A73, 10) = 0), 0,
IF(AND(A73=INT(A73), LEN(A73)=2), 1,
IF(AND(A73=INT(A73), LEN(A73)=3), 2,
LEN(A73) - FIND(".", A73) + 2)
)
),
"")</f>
      </c>
      <c r="C73" s="7" t="s">
        <v>105</v>
      </c>
      <c r="D73" s="8">
        <f>REPT("   ", B73*2) &amp; C73</f>
      </c>
      <c r="E73" s="9"/>
      <c r="F73" s="9"/>
      <c r="G73" s="10"/>
      <c r="H73" s="9"/>
      <c r="I73" s="9"/>
      <c r="J73" s="14"/>
      <c r="K73" s="14"/>
      <c r="L73" s="14"/>
      <c r="M73" s="19"/>
      <c r="N73" s="14"/>
      <c r="O73" s="14"/>
      <c r="P73" s="14"/>
      <c r="Q73" s="14"/>
      <c r="R73" s="14"/>
      <c r="S73" s="19"/>
      <c r="T73" s="7"/>
      <c r="U73" s="24"/>
      <c r="V73" s="15"/>
      <c r="W73" s="4"/>
      <c r="X73" s="12"/>
      <c r="Y73" s="12"/>
      <c r="Z73" s="4"/>
      <c r="AA73" s="11"/>
      <c r="AB73" s="11"/>
      <c r="AC73" s="4"/>
      <c r="AD73" s="13"/>
      <c r="AE73" s="11"/>
      <c r="AF73" s="11"/>
      <c r="AG73" s="4"/>
    </row>
    <row x14ac:dyDescent="0.25" r="74" customHeight="1" ht="67.5">
      <c r="A74" s="23">
        <v>215.11</v>
      </c>
      <c r="B74" s="6">
        <f>IF(ISNUMBER(A74),
IF(AND(A74=INT(A74), MOD(A74, 10) = 0), 0,
IF(AND(A74=INT(A74), LEN(A74)=2), 1,
IF(AND(A74=INT(A74), LEN(A74)=3), 2,
LEN(A74) - FIND(".", A74) + 2)
)
),
"")</f>
      </c>
      <c r="C74" s="8">
        <f>_xlfn.CONCAT(C73," Roof")</f>
      </c>
      <c r="D74" s="8">
        <f>REPT("   ", B74*2) &amp; C74</f>
      </c>
      <c r="E74" s="7" t="s">
        <v>35</v>
      </c>
      <c r="F74" s="7" t="s">
        <v>36</v>
      </c>
      <c r="G74" s="10">
        <v>1</v>
      </c>
      <c r="H74" s="9"/>
      <c r="I74" s="9"/>
      <c r="J74" s="14"/>
      <c r="K74" s="14">
        <f>1200 *1.53</f>
      </c>
      <c r="L74" s="15" t="s">
        <v>74</v>
      </c>
      <c r="M74" s="8">
        <f>_xlfn.CONCAT(C74, " Volume")</f>
      </c>
      <c r="N74" s="14"/>
      <c r="O74" s="15" t="s">
        <v>76</v>
      </c>
      <c r="P74" s="14"/>
      <c r="Q74" s="14">
        <v>2024</v>
      </c>
      <c r="R74" s="15" t="s">
        <v>86</v>
      </c>
      <c r="S74" s="16" t="s">
        <v>69</v>
      </c>
      <c r="T74" s="16" t="s">
        <v>70</v>
      </c>
      <c r="U74" s="22" t="s">
        <v>71</v>
      </c>
      <c r="V74" s="15"/>
      <c r="W74" s="4" t="s">
        <v>44</v>
      </c>
      <c r="X74" s="12">
        <f>0.9*$I74</f>
      </c>
      <c r="Y74" s="12">
        <f>1.5*J74</f>
      </c>
      <c r="Z74" s="4" t="s">
        <v>45</v>
      </c>
      <c r="AA74" s="13">
        <f>0.9*K74</f>
      </c>
      <c r="AB74" s="13">
        <f>1.3*K74</f>
      </c>
      <c r="AC74" s="4" t="s">
        <v>45</v>
      </c>
      <c r="AD74" s="13">
        <v>0.1</v>
      </c>
      <c r="AE74" s="11">
        <v>1</v>
      </c>
      <c r="AF74" s="11">
        <v>0</v>
      </c>
      <c r="AG74" s="4" t="s">
        <v>46</v>
      </c>
    </row>
    <row x14ac:dyDescent="0.25" r="75" customHeight="1" ht="67.5">
      <c r="A75" s="23">
        <v>215.12</v>
      </c>
      <c r="B75" s="6">
        <f>IF(ISNUMBER(A75),
IF(AND(A75=INT(A75), MOD(A75, 10) = 0), 0,
IF(AND(A75=INT(A75), LEN(A75)=2), 1,
IF(AND(A75=INT(A75), LEN(A75)=3), 2,
LEN(A75) - FIND(".", A75) + 2)
)
),
"")</f>
      </c>
      <c r="C75" s="8">
        <f>_xlfn.CONCAT(C73," Basement")</f>
      </c>
      <c r="D75" s="8">
        <f>REPT("   ", B75*2) &amp; C75</f>
      </c>
      <c r="E75" s="7" t="s">
        <v>35</v>
      </c>
      <c r="F75" s="7" t="s">
        <v>36</v>
      </c>
      <c r="G75" s="10">
        <v>1</v>
      </c>
      <c r="H75" s="9"/>
      <c r="I75" s="9"/>
      <c r="J75" s="14"/>
      <c r="K75" s="14">
        <f>943.9*1.53</f>
      </c>
      <c r="L75" s="15" t="s">
        <v>74</v>
      </c>
      <c r="M75" s="8">
        <f>_xlfn.CONCAT(C75, " Volume")</f>
      </c>
      <c r="N75" s="14"/>
      <c r="O75" s="15" t="s">
        <v>76</v>
      </c>
      <c r="P75" s="14"/>
      <c r="Q75" s="14">
        <v>2024</v>
      </c>
      <c r="R75" s="15" t="s">
        <v>86</v>
      </c>
      <c r="S75" s="7"/>
      <c r="T75" s="7"/>
      <c r="U75" s="7"/>
      <c r="V75" s="15"/>
      <c r="W75" s="4" t="s">
        <v>44</v>
      </c>
      <c r="X75" s="12">
        <f>0.9*$I75</f>
      </c>
      <c r="Y75" s="12">
        <f>1.5*J75</f>
      </c>
      <c r="Z75" s="4" t="s">
        <v>45</v>
      </c>
      <c r="AA75" s="13">
        <f>0.9*K75</f>
      </c>
      <c r="AB75" s="13">
        <f>1.3*K75</f>
      </c>
      <c r="AC75" s="4" t="s">
        <v>45</v>
      </c>
      <c r="AD75" s="13">
        <v>0.1</v>
      </c>
      <c r="AE75" s="11">
        <v>1</v>
      </c>
      <c r="AF75" s="11">
        <v>0</v>
      </c>
      <c r="AG75" s="4" t="s">
        <v>46</v>
      </c>
    </row>
    <row x14ac:dyDescent="0.25" r="76" customHeight="1" ht="67.5">
      <c r="A76" s="23">
        <v>215.13</v>
      </c>
      <c r="B76" s="6">
        <f>IF(ISNUMBER(A76),
IF(AND(A76=INT(A76), MOD(A76, 10) = 0), 0,
IF(AND(A76=INT(A76), LEN(A76)=2), 1,
IF(AND(A76=INT(A76), LEN(A76)=3), 2,
LEN(A76) - FIND(".", A76) + 2)
)
),
"")</f>
      </c>
      <c r="C76" s="8">
        <f>_xlfn.CONCAT(C73," Walls")</f>
      </c>
      <c r="D76" s="8">
        <f>REPT("   ", B76*2) &amp; C76</f>
      </c>
      <c r="E76" s="7" t="s">
        <v>35</v>
      </c>
      <c r="F76" s="7" t="s">
        <v>36</v>
      </c>
      <c r="G76" s="10">
        <v>1</v>
      </c>
      <c r="H76" s="9"/>
      <c r="I76" s="9"/>
      <c r="J76" s="14"/>
      <c r="K76" s="14">
        <f>721.21*1.53</f>
      </c>
      <c r="L76" s="15" t="s">
        <v>74</v>
      </c>
      <c r="M76" s="8">
        <f>_xlfn.CONCAT(C76, " Volume")</f>
      </c>
      <c r="N76" s="14"/>
      <c r="O76" s="15" t="s">
        <v>76</v>
      </c>
      <c r="P76" s="14"/>
      <c r="Q76" s="14">
        <v>2024</v>
      </c>
      <c r="R76" s="15" t="s">
        <v>86</v>
      </c>
      <c r="S76" s="7"/>
      <c r="T76" s="7"/>
      <c r="U76" s="7"/>
      <c r="V76" s="15"/>
      <c r="W76" s="4" t="s">
        <v>44</v>
      </c>
      <c r="X76" s="12">
        <f>0.9*$I76</f>
      </c>
      <c r="Y76" s="12">
        <f>1.5*J76</f>
      </c>
      <c r="Z76" s="4" t="s">
        <v>45</v>
      </c>
      <c r="AA76" s="13">
        <f>0.9*K76</f>
      </c>
      <c r="AB76" s="13">
        <f>1.3*K76</f>
      </c>
      <c r="AC76" s="4" t="s">
        <v>45</v>
      </c>
      <c r="AD76" s="13">
        <v>0.1</v>
      </c>
      <c r="AE76" s="11">
        <v>1</v>
      </c>
      <c r="AF76" s="11">
        <v>0</v>
      </c>
      <c r="AG76" s="4" t="s">
        <v>46</v>
      </c>
    </row>
    <row x14ac:dyDescent="0.25" r="77" customHeight="1" ht="54">
      <c r="A77" s="23">
        <v>215.19</v>
      </c>
      <c r="B77" s="6">
        <f>IF(ISNUMBER(A77),
IF(AND(A77=INT(A77), MOD(A77, 10) = 0), 0,
IF(AND(A77=INT(A77), LEN(A77)=2), 1,
IF(AND(A77=INT(A77), LEN(A77)=3), 2,
LEN(A77) - FIND(".", A77) + 2)
)
),
"")</f>
      </c>
      <c r="C77" s="7" t="s">
        <v>88</v>
      </c>
      <c r="D77" s="8">
        <f>REPT("   ", B77*2) &amp; C77</f>
      </c>
      <c r="E77" s="7" t="s">
        <v>35</v>
      </c>
      <c r="F77" s="7" t="s">
        <v>36</v>
      </c>
      <c r="G77" s="10">
        <v>1</v>
      </c>
      <c r="H77" s="9"/>
      <c r="I77" s="9"/>
      <c r="J77" s="14"/>
      <c r="K77" s="14"/>
      <c r="L77" s="15" t="s">
        <v>74</v>
      </c>
      <c r="M77" s="8">
        <f>_xlfn.CONCAT(C73, " Volume")</f>
      </c>
      <c r="N77" s="14"/>
      <c r="O77" s="15" t="s">
        <v>76</v>
      </c>
      <c r="P77" s="14"/>
      <c r="Q77" s="14"/>
      <c r="R77" s="15"/>
      <c r="S77" s="7"/>
      <c r="T77" s="7"/>
      <c r="U77" s="24"/>
      <c r="V77" s="15"/>
      <c r="W77" s="4" t="s">
        <v>44</v>
      </c>
      <c r="X77" s="12">
        <f>0.9*$I77</f>
      </c>
      <c r="Y77" s="12">
        <f>1.5*J77</f>
      </c>
      <c r="Z77" s="4" t="s">
        <v>45</v>
      </c>
      <c r="AA77" s="11">
        <f>0.9*K77</f>
      </c>
      <c r="AB77" s="11">
        <f>1.3*K77</f>
      </c>
      <c r="AC77" s="4" t="s">
        <v>45</v>
      </c>
      <c r="AD77" s="13">
        <v>0.1</v>
      </c>
      <c r="AE77" s="11">
        <v>1</v>
      </c>
      <c r="AF77" s="11">
        <v>0</v>
      </c>
      <c r="AG77" s="4" t="s">
        <v>46</v>
      </c>
    </row>
    <row x14ac:dyDescent="0.25" r="78" customHeight="1" ht="15">
      <c r="A78" s="23">
        <v>215.2</v>
      </c>
      <c r="B78" s="6">
        <f>IF(ISNUMBER(A78),
IF(AND(A78=INT(A78), MOD(A78, 10) = 0), 0,
IF(AND(A78=INT(A78), LEN(A78)=2), 1,
IF(AND(A78=INT(A78), LEN(A78)=3), 2,
LEN(A78) - FIND(".", A78) + 2)
)
),
"")</f>
      </c>
      <c r="C78" s="7" t="s">
        <v>106</v>
      </c>
      <c r="D78" s="8">
        <f>REPT("   ", B78*2) &amp; C78</f>
      </c>
      <c r="E78" s="9"/>
      <c r="F78" s="9"/>
      <c r="G78" s="10"/>
      <c r="H78" s="9"/>
      <c r="I78" s="9"/>
      <c r="J78" s="14"/>
      <c r="K78" s="14"/>
      <c r="L78" s="14"/>
      <c r="M78" s="19"/>
      <c r="N78" s="14"/>
      <c r="O78" s="14"/>
      <c r="P78" s="14"/>
      <c r="Q78" s="14"/>
      <c r="R78" s="14"/>
      <c r="S78" s="19"/>
      <c r="T78" s="7"/>
      <c r="U78" s="24"/>
      <c r="V78" s="15"/>
      <c r="W78" s="4"/>
      <c r="X78" s="12"/>
      <c r="Y78" s="12"/>
      <c r="Z78" s="4"/>
      <c r="AA78" s="11"/>
      <c r="AB78" s="11"/>
      <c r="AC78" s="4"/>
      <c r="AD78" s="13"/>
      <c r="AE78" s="11"/>
      <c r="AF78" s="11"/>
      <c r="AG78" s="4"/>
    </row>
    <row x14ac:dyDescent="0.25" r="79" customHeight="1" ht="40.5">
      <c r="A79" s="23">
        <v>215.21</v>
      </c>
      <c r="B79" s="6">
        <f>IF(ISNUMBER(A79),
IF(AND(A79=INT(A79), MOD(A79, 10) = 0), 0,
IF(AND(A79=INT(A79), LEN(A79)=2), 1,
IF(AND(A79=INT(A79), LEN(A79)=3), 2,
LEN(A79) - FIND(".", A79) + 2)
)
),
"")</f>
      </c>
      <c r="C79" s="8">
        <f>_xlfn.CONCAT(C78," Roof")</f>
      </c>
      <c r="D79" s="8">
        <f>REPT("   ", B79*2) &amp; C79</f>
      </c>
      <c r="E79" s="7" t="s">
        <v>35</v>
      </c>
      <c r="F79" s="7" t="s">
        <v>36</v>
      </c>
      <c r="G79" s="10">
        <v>1</v>
      </c>
      <c r="H79" s="9"/>
      <c r="I79" s="9"/>
      <c r="J79" s="14"/>
      <c r="K79" s="14">
        <f>1200 *1.53</f>
      </c>
      <c r="L79" s="15" t="s">
        <v>74</v>
      </c>
      <c r="M79" s="8">
        <f>_xlfn.CONCAT(C79, " Volume")</f>
      </c>
      <c r="N79" s="14"/>
      <c r="O79" s="15" t="s">
        <v>76</v>
      </c>
      <c r="P79" s="14"/>
      <c r="Q79" s="14">
        <v>2024</v>
      </c>
      <c r="R79" s="15" t="s">
        <v>86</v>
      </c>
      <c r="S79" s="16" t="s">
        <v>69</v>
      </c>
      <c r="T79" s="16" t="s">
        <v>70</v>
      </c>
      <c r="U79" s="22" t="s">
        <v>71</v>
      </c>
      <c r="V79" s="15"/>
      <c r="W79" s="4" t="s">
        <v>44</v>
      </c>
      <c r="X79" s="12">
        <f>0.9*$I79</f>
      </c>
      <c r="Y79" s="12">
        <f>1.5*J79</f>
      </c>
      <c r="Z79" s="4" t="s">
        <v>45</v>
      </c>
      <c r="AA79" s="13">
        <f>0.9*K79</f>
      </c>
      <c r="AB79" s="13">
        <f>1.3*K79</f>
      </c>
      <c r="AC79" s="4" t="s">
        <v>45</v>
      </c>
      <c r="AD79" s="13">
        <v>0.1</v>
      </c>
      <c r="AE79" s="11">
        <v>1</v>
      </c>
      <c r="AF79" s="11">
        <v>0</v>
      </c>
      <c r="AG79" s="4" t="s">
        <v>46</v>
      </c>
    </row>
    <row x14ac:dyDescent="0.25" r="80" customHeight="1" ht="40.5">
      <c r="A80" s="23">
        <v>215.22</v>
      </c>
      <c r="B80" s="6">
        <f>IF(ISNUMBER(A80),
IF(AND(A80=INT(A80), MOD(A80, 10) = 0), 0,
IF(AND(A80=INT(A80), LEN(A80)=2), 1,
IF(AND(A80=INT(A80), LEN(A80)=3), 2,
LEN(A80) - FIND(".", A80) + 2)
)
),
"")</f>
      </c>
      <c r="C80" s="8">
        <f>_xlfn.CONCAT(C78," Basement")</f>
      </c>
      <c r="D80" s="8">
        <f>REPT("   ", B80*2) &amp; C80</f>
      </c>
      <c r="E80" s="7" t="s">
        <v>35</v>
      </c>
      <c r="F80" s="7" t="s">
        <v>36</v>
      </c>
      <c r="G80" s="10">
        <v>1</v>
      </c>
      <c r="H80" s="9"/>
      <c r="I80" s="9"/>
      <c r="J80" s="14"/>
      <c r="K80" s="14">
        <f>943.9*1.53</f>
      </c>
      <c r="L80" s="15" t="s">
        <v>74</v>
      </c>
      <c r="M80" s="8">
        <f>_xlfn.CONCAT(C80, " Volume")</f>
      </c>
      <c r="N80" s="14"/>
      <c r="O80" s="15" t="s">
        <v>76</v>
      </c>
      <c r="P80" s="14"/>
      <c r="Q80" s="14">
        <v>2024</v>
      </c>
      <c r="R80" s="15" t="s">
        <v>86</v>
      </c>
      <c r="S80" s="7"/>
      <c r="T80" s="7"/>
      <c r="U80" s="7"/>
      <c r="V80" s="15"/>
      <c r="W80" s="4" t="s">
        <v>44</v>
      </c>
      <c r="X80" s="12">
        <f>0.9*$I80</f>
      </c>
      <c r="Y80" s="12">
        <f>1.5*J80</f>
      </c>
      <c r="Z80" s="4" t="s">
        <v>45</v>
      </c>
      <c r="AA80" s="13">
        <f>0.9*K80</f>
      </c>
      <c r="AB80" s="13">
        <f>1.3*K80</f>
      </c>
      <c r="AC80" s="4" t="s">
        <v>45</v>
      </c>
      <c r="AD80" s="13">
        <v>0.1</v>
      </c>
      <c r="AE80" s="11">
        <v>1</v>
      </c>
      <c r="AF80" s="11">
        <v>0</v>
      </c>
      <c r="AG80" s="4" t="s">
        <v>46</v>
      </c>
    </row>
    <row x14ac:dyDescent="0.25" r="81" customHeight="1" ht="40.5">
      <c r="A81" s="23">
        <v>215.23</v>
      </c>
      <c r="B81" s="6">
        <f>IF(ISNUMBER(A81),
IF(AND(A81=INT(A81), MOD(A81, 10) = 0), 0,
IF(AND(A81=INT(A81), LEN(A81)=2), 1,
IF(AND(A81=INT(A81), LEN(A81)=3), 2,
LEN(A81) - FIND(".", A81) + 2)
)
),
"")</f>
      </c>
      <c r="C81" s="8">
        <f>_xlfn.CONCAT(C78," Walls")</f>
      </c>
      <c r="D81" s="8">
        <f>REPT("   ", B81*2) &amp; C81</f>
      </c>
      <c r="E81" s="7" t="s">
        <v>35</v>
      </c>
      <c r="F81" s="7" t="s">
        <v>36</v>
      </c>
      <c r="G81" s="10">
        <v>1</v>
      </c>
      <c r="H81" s="9"/>
      <c r="I81" s="9"/>
      <c r="J81" s="14"/>
      <c r="K81" s="14">
        <f>721.21*1.53</f>
      </c>
      <c r="L81" s="15" t="s">
        <v>74</v>
      </c>
      <c r="M81" s="8">
        <f>_xlfn.CONCAT(C81, " Volume")</f>
      </c>
      <c r="N81" s="14"/>
      <c r="O81" s="15" t="s">
        <v>76</v>
      </c>
      <c r="P81" s="14"/>
      <c r="Q81" s="14">
        <v>2024</v>
      </c>
      <c r="R81" s="15" t="s">
        <v>86</v>
      </c>
      <c r="S81" s="7"/>
      <c r="T81" s="7"/>
      <c r="U81" s="7"/>
      <c r="V81" s="15"/>
      <c r="W81" s="4" t="s">
        <v>44</v>
      </c>
      <c r="X81" s="12">
        <f>0.9*$I81</f>
      </c>
      <c r="Y81" s="12">
        <f>1.5*J81</f>
      </c>
      <c r="Z81" s="4" t="s">
        <v>45</v>
      </c>
      <c r="AA81" s="13">
        <f>0.9*K81</f>
      </c>
      <c r="AB81" s="13">
        <f>1.3*K81</f>
      </c>
      <c r="AC81" s="4" t="s">
        <v>45</v>
      </c>
      <c r="AD81" s="13">
        <v>0.1</v>
      </c>
      <c r="AE81" s="11">
        <v>1</v>
      </c>
      <c r="AF81" s="11">
        <v>0</v>
      </c>
      <c r="AG81" s="4" t="s">
        <v>46</v>
      </c>
    </row>
    <row x14ac:dyDescent="0.25" r="82" customHeight="1" ht="38.25">
      <c r="A82" s="23">
        <v>215.24</v>
      </c>
      <c r="B82" s="6">
        <f>IF(ISNUMBER(A82),
IF(AND(A82=INT(A82), MOD(A82, 10) = 0), 0,
IF(AND(A82=INT(A82), LEN(A82)=2), 1,
IF(AND(A82=INT(A82), LEN(A82)=3), 2,
LEN(A82) - FIND(".", A82) + 2)
)
),
"")</f>
      </c>
      <c r="C82" s="7" t="s">
        <v>107</v>
      </c>
      <c r="D82" s="8">
        <f>REPT("   ", B82*2) &amp; C82</f>
      </c>
      <c r="E82" s="7" t="s">
        <v>35</v>
      </c>
      <c r="F82" s="7" t="s">
        <v>108</v>
      </c>
      <c r="G82" s="10"/>
      <c r="H82" s="9"/>
      <c r="I82" s="9"/>
      <c r="J82" s="14"/>
      <c r="K82" s="14"/>
      <c r="L82" s="14"/>
      <c r="M82" s="19"/>
      <c r="N82" s="14"/>
      <c r="O82" s="14"/>
      <c r="P82" s="14"/>
      <c r="Q82" s="14"/>
      <c r="R82" s="14"/>
      <c r="S82" s="19"/>
      <c r="T82" s="7"/>
      <c r="U82" s="24"/>
      <c r="V82" s="15"/>
      <c r="W82" s="4" t="s">
        <v>44</v>
      </c>
      <c r="X82" s="12">
        <f>0.8*$I82</f>
      </c>
      <c r="Y82" s="12">
        <f>2*J82</f>
      </c>
      <c r="Z82" s="4" t="s">
        <v>45</v>
      </c>
      <c r="AA82" s="11">
        <f>0.8*K82</f>
      </c>
      <c r="AB82" s="11">
        <f>2*K82</f>
      </c>
      <c r="AC82" s="4" t="s">
        <v>45</v>
      </c>
      <c r="AD82" s="13">
        <v>0.1</v>
      </c>
      <c r="AE82" s="11">
        <v>1</v>
      </c>
      <c r="AF82" s="11">
        <v>0</v>
      </c>
      <c r="AG82" s="4" t="s">
        <v>46</v>
      </c>
    </row>
    <row x14ac:dyDescent="0.25" r="83" customHeight="1" ht="25.5">
      <c r="A83" s="23">
        <v>215.241</v>
      </c>
      <c r="B83" s="6">
        <f>IF(ISNUMBER(A83),
IF(AND(A83=INT(A83), MOD(A83, 10) = 0), 0,
IF(AND(A83=INT(A83), LEN(A83)=2), 1,
IF(AND(A83=INT(A83), LEN(A83)=3), 2,
LEN(A83) - FIND(".", A83) + 2)
)
),
"")</f>
      </c>
      <c r="C83" s="7" t="s">
        <v>98</v>
      </c>
      <c r="D83" s="8">
        <f>REPT("   ", B83*2) &amp; C83</f>
      </c>
      <c r="E83" s="7" t="s">
        <v>35</v>
      </c>
      <c r="F83" s="7" t="s">
        <v>97</v>
      </c>
      <c r="G83" s="10">
        <v>4</v>
      </c>
      <c r="H83" s="9"/>
      <c r="I83" s="9"/>
      <c r="J83" s="14"/>
      <c r="K83" s="14"/>
      <c r="L83" s="14"/>
      <c r="M83" s="19"/>
      <c r="N83" s="14"/>
      <c r="O83" s="14"/>
      <c r="P83" s="14"/>
      <c r="Q83" s="14"/>
      <c r="R83" s="14"/>
      <c r="S83" s="19"/>
      <c r="T83" s="7"/>
      <c r="U83" s="24"/>
      <c r="V83" s="15"/>
      <c r="W83" s="4" t="s">
        <v>44</v>
      </c>
      <c r="X83" s="12">
        <f>0.8*$I83</f>
      </c>
      <c r="Y83" s="12">
        <f>2*J83</f>
      </c>
      <c r="Z83" s="4" t="s">
        <v>45</v>
      </c>
      <c r="AA83" s="11">
        <f>0.8*K83</f>
      </c>
      <c r="AB83" s="11">
        <f>2*K83</f>
      </c>
      <c r="AC83" s="4" t="s">
        <v>45</v>
      </c>
      <c r="AD83" s="13">
        <v>0.1</v>
      </c>
      <c r="AE83" s="11">
        <v>1</v>
      </c>
      <c r="AF83" s="11">
        <v>0</v>
      </c>
      <c r="AG83" s="4" t="s">
        <v>46</v>
      </c>
    </row>
    <row x14ac:dyDescent="0.25" r="84" customHeight="1" ht="27">
      <c r="A84" s="23">
        <v>215.29</v>
      </c>
      <c r="B84" s="6">
        <f>IF(ISNUMBER(A84),
IF(AND(A84=INT(A84), MOD(A84, 10) = 0), 0,
IF(AND(A84=INT(A84), LEN(A84)=2), 1,
IF(AND(A84=INT(A84), LEN(A84)=3), 2,
LEN(A84) - FIND(".", A84) + 2)
)
),
"")</f>
      </c>
      <c r="C84" s="7" t="s">
        <v>88</v>
      </c>
      <c r="D84" s="8">
        <f>REPT("   ", B84*2) &amp; C84</f>
      </c>
      <c r="E84" s="7" t="s">
        <v>35</v>
      </c>
      <c r="F84" s="7" t="s">
        <v>36</v>
      </c>
      <c r="G84" s="10">
        <v>1</v>
      </c>
      <c r="H84" s="9"/>
      <c r="I84" s="9"/>
      <c r="J84" s="14"/>
      <c r="K84" s="14"/>
      <c r="L84" s="15" t="s">
        <v>74</v>
      </c>
      <c r="M84" s="8">
        <f>_xlfn.CONCAT(C78, " Volume")</f>
      </c>
      <c r="N84" s="14"/>
      <c r="O84" s="15" t="s">
        <v>76</v>
      </c>
      <c r="P84" s="14"/>
      <c r="Q84" s="14"/>
      <c r="R84" s="15"/>
      <c r="S84" s="7"/>
      <c r="T84" s="7"/>
      <c r="U84" s="24"/>
      <c r="V84" s="15"/>
      <c r="W84" s="4" t="s">
        <v>44</v>
      </c>
      <c r="X84" s="12">
        <f>0.9*$I84</f>
      </c>
      <c r="Y84" s="12">
        <f>1.5*J84</f>
      </c>
      <c r="Z84" s="4" t="s">
        <v>45</v>
      </c>
      <c r="AA84" s="11">
        <f>0.9*K84</f>
      </c>
      <c r="AB84" s="11">
        <f>1.3*K84</f>
      </c>
      <c r="AC84" s="4" t="s">
        <v>45</v>
      </c>
      <c r="AD84" s="13">
        <v>0.1</v>
      </c>
      <c r="AE84" s="11">
        <v>1</v>
      </c>
      <c r="AF84" s="11">
        <v>0</v>
      </c>
      <c r="AG84" s="4" t="s">
        <v>46</v>
      </c>
    </row>
    <row x14ac:dyDescent="0.25" r="85" customHeight="1" ht="15">
      <c r="A85" s="23">
        <v>215.3</v>
      </c>
      <c r="B85" s="6">
        <f>IF(ISNUMBER(A85),
IF(AND(A85=INT(A85), MOD(A85, 10) = 0), 0,
IF(AND(A85=INT(A85), LEN(A85)=2), 1,
IF(AND(A85=INT(A85), LEN(A85)=3), 2,
LEN(A85) - FIND(".", A85) + 2)
)
),
"")</f>
      </c>
      <c r="C85" s="7" t="s">
        <v>109</v>
      </c>
      <c r="D85" s="8">
        <f>REPT("   ", B85*2) &amp; C85</f>
      </c>
      <c r="E85" s="9"/>
      <c r="F85" s="9"/>
      <c r="G85" s="10"/>
      <c r="H85" s="9"/>
      <c r="I85" s="9"/>
      <c r="J85" s="14"/>
      <c r="K85" s="14"/>
      <c r="L85" s="14"/>
      <c r="M85" s="19"/>
      <c r="N85" s="14"/>
      <c r="O85" s="14"/>
      <c r="P85" s="14"/>
      <c r="Q85" s="14"/>
      <c r="R85" s="14"/>
      <c r="S85" s="19"/>
      <c r="T85" s="7"/>
      <c r="U85" s="24"/>
      <c r="V85" s="15"/>
      <c r="W85" s="4"/>
      <c r="X85" s="12"/>
      <c r="Y85" s="12"/>
      <c r="Z85" s="4"/>
      <c r="AA85" s="11"/>
      <c r="AB85" s="11"/>
      <c r="AC85" s="4"/>
      <c r="AD85" s="13"/>
      <c r="AE85" s="11"/>
      <c r="AF85" s="11"/>
      <c r="AG85" s="4"/>
    </row>
    <row x14ac:dyDescent="0.25" r="86" customHeight="1" ht="40.5">
      <c r="A86" s="23">
        <v>215.31</v>
      </c>
      <c r="B86" s="6">
        <f>IF(ISNUMBER(A86),
IF(AND(A86=INT(A86), MOD(A86, 10) = 0), 0,
IF(AND(A86=INT(A86), LEN(A86)=2), 1,
IF(AND(A86=INT(A86), LEN(A86)=3), 2,
LEN(A86) - FIND(".", A86) + 2)
)
),
"")</f>
      </c>
      <c r="C86" s="8">
        <f>_xlfn.CONCAT(C85," Roof")</f>
      </c>
      <c r="D86" s="8">
        <f>REPT("   ", B86*2) &amp; C86</f>
      </c>
      <c r="E86" s="7" t="s">
        <v>35</v>
      </c>
      <c r="F86" s="7" t="s">
        <v>36</v>
      </c>
      <c r="G86" s="10">
        <v>1</v>
      </c>
      <c r="H86" s="9"/>
      <c r="I86" s="9"/>
      <c r="J86" s="14"/>
      <c r="K86" s="14">
        <f>1200 *1.53</f>
      </c>
      <c r="L86" s="15" t="s">
        <v>74</v>
      </c>
      <c r="M86" s="8">
        <f>_xlfn.CONCAT(C86, " Volume")</f>
      </c>
      <c r="N86" s="14"/>
      <c r="O86" s="15" t="s">
        <v>76</v>
      </c>
      <c r="P86" s="14"/>
      <c r="Q86" s="14">
        <v>2024</v>
      </c>
      <c r="R86" s="15" t="s">
        <v>86</v>
      </c>
      <c r="S86" s="16" t="s">
        <v>69</v>
      </c>
      <c r="T86" s="16" t="s">
        <v>70</v>
      </c>
      <c r="U86" s="22" t="s">
        <v>71</v>
      </c>
      <c r="V86" s="15"/>
      <c r="W86" s="4" t="s">
        <v>44</v>
      </c>
      <c r="X86" s="12">
        <f>0.9*$I86</f>
      </c>
      <c r="Y86" s="12">
        <f>1.5*J86</f>
      </c>
      <c r="Z86" s="4" t="s">
        <v>45</v>
      </c>
      <c r="AA86" s="13">
        <f>0.9*K86</f>
      </c>
      <c r="AB86" s="13">
        <f>1.3*K86</f>
      </c>
      <c r="AC86" s="4" t="s">
        <v>45</v>
      </c>
      <c r="AD86" s="13">
        <v>0.1</v>
      </c>
      <c r="AE86" s="11">
        <v>1</v>
      </c>
      <c r="AF86" s="11">
        <v>0</v>
      </c>
      <c r="AG86" s="4" t="s">
        <v>46</v>
      </c>
    </row>
    <row x14ac:dyDescent="0.25" r="87" customHeight="1" ht="40.5">
      <c r="A87" s="23">
        <v>215.32</v>
      </c>
      <c r="B87" s="6">
        <f>IF(ISNUMBER(A87),
IF(AND(A87=INT(A87), MOD(A87, 10) = 0), 0,
IF(AND(A87=INT(A87), LEN(A87)=2), 1,
IF(AND(A87=INT(A87), LEN(A87)=3), 2,
LEN(A87) - FIND(".", A87) + 2)
)
),
"")</f>
      </c>
      <c r="C87" s="8">
        <f>_xlfn.CONCAT(C85," Basement")</f>
      </c>
      <c r="D87" s="8">
        <f>REPT("   ", B87*2) &amp; C87</f>
      </c>
      <c r="E87" s="7" t="s">
        <v>35</v>
      </c>
      <c r="F87" s="7" t="s">
        <v>36</v>
      </c>
      <c r="G87" s="10">
        <v>1</v>
      </c>
      <c r="H87" s="9"/>
      <c r="I87" s="9"/>
      <c r="J87" s="14"/>
      <c r="K87" s="14">
        <f>943.9*1.53</f>
      </c>
      <c r="L87" s="15" t="s">
        <v>74</v>
      </c>
      <c r="M87" s="8">
        <f>_xlfn.CONCAT(C87, " Volume")</f>
      </c>
      <c r="N87" s="14"/>
      <c r="O87" s="15" t="s">
        <v>76</v>
      </c>
      <c r="P87" s="14"/>
      <c r="Q87" s="14">
        <v>2024</v>
      </c>
      <c r="R87" s="15" t="s">
        <v>86</v>
      </c>
      <c r="S87" s="7"/>
      <c r="T87" s="7"/>
      <c r="U87" s="7"/>
      <c r="V87" s="15"/>
      <c r="W87" s="4" t="s">
        <v>44</v>
      </c>
      <c r="X87" s="12">
        <f>0.9*$I87</f>
      </c>
      <c r="Y87" s="12">
        <f>1.5*J87</f>
      </c>
      <c r="Z87" s="4" t="s">
        <v>45</v>
      </c>
      <c r="AA87" s="13">
        <f>0.9*K87</f>
      </c>
      <c r="AB87" s="13">
        <f>1.3*K87</f>
      </c>
      <c r="AC87" s="4" t="s">
        <v>45</v>
      </c>
      <c r="AD87" s="13">
        <v>0.1</v>
      </c>
      <c r="AE87" s="11">
        <v>1</v>
      </c>
      <c r="AF87" s="11">
        <v>0</v>
      </c>
      <c r="AG87" s="4" t="s">
        <v>46</v>
      </c>
    </row>
    <row x14ac:dyDescent="0.25" r="88" customHeight="1" ht="40.5">
      <c r="A88" s="23">
        <v>215.33</v>
      </c>
      <c r="B88" s="6">
        <f>IF(ISNUMBER(A88),
IF(AND(A88=INT(A88), MOD(A88, 10) = 0), 0,
IF(AND(A88=INT(A88), LEN(A88)=2), 1,
IF(AND(A88=INT(A88), LEN(A88)=3), 2,
LEN(A88) - FIND(".", A88) + 2)
)
),
"")</f>
      </c>
      <c r="C88" s="8">
        <f>_xlfn.CONCAT(C85," Walls")</f>
      </c>
      <c r="D88" s="8">
        <f>REPT("   ", B88*2) &amp; C88</f>
      </c>
      <c r="E88" s="7" t="s">
        <v>35</v>
      </c>
      <c r="F88" s="7" t="s">
        <v>36</v>
      </c>
      <c r="G88" s="10">
        <v>1</v>
      </c>
      <c r="H88" s="9"/>
      <c r="I88" s="9"/>
      <c r="J88" s="14"/>
      <c r="K88" s="14">
        <f>721.21*1.53</f>
      </c>
      <c r="L88" s="15" t="s">
        <v>74</v>
      </c>
      <c r="M88" s="8">
        <f>_xlfn.CONCAT(C88, " Volume")</f>
      </c>
      <c r="N88" s="14"/>
      <c r="O88" s="15" t="s">
        <v>76</v>
      </c>
      <c r="P88" s="14"/>
      <c r="Q88" s="14">
        <v>2024</v>
      </c>
      <c r="R88" s="15" t="s">
        <v>86</v>
      </c>
      <c r="S88" s="7"/>
      <c r="T88" s="7"/>
      <c r="U88" s="7"/>
      <c r="V88" s="15"/>
      <c r="W88" s="4" t="s">
        <v>44</v>
      </c>
      <c r="X88" s="12">
        <f>0.9*$I88</f>
      </c>
      <c r="Y88" s="12">
        <f>1.5*J88</f>
      </c>
      <c r="Z88" s="4" t="s">
        <v>45</v>
      </c>
      <c r="AA88" s="13">
        <f>0.9*K88</f>
      </c>
      <c r="AB88" s="13">
        <f>1.3*K88</f>
      </c>
      <c r="AC88" s="4" t="s">
        <v>45</v>
      </c>
      <c r="AD88" s="13">
        <v>0.1</v>
      </c>
      <c r="AE88" s="11">
        <v>1</v>
      </c>
      <c r="AF88" s="11">
        <v>0</v>
      </c>
      <c r="AG88" s="4" t="s">
        <v>46</v>
      </c>
    </row>
    <row x14ac:dyDescent="0.25" r="89" customHeight="1" ht="38.25">
      <c r="A89" s="23">
        <v>215.34</v>
      </c>
      <c r="B89" s="6">
        <f>IF(ISNUMBER(A89),
IF(AND(A89=INT(A89), MOD(A89, 10) = 0), 0,
IF(AND(A89=INT(A89), LEN(A89)=2), 1,
IF(AND(A89=INT(A89), LEN(A89)=3), 2,
LEN(A89) - FIND(".", A89) + 2)
)
),
"")</f>
      </c>
      <c r="C89" s="7" t="s">
        <v>110</v>
      </c>
      <c r="D89" s="8">
        <f>REPT("   ", B89*2) &amp; C89</f>
      </c>
      <c r="E89" s="7" t="s">
        <v>35</v>
      </c>
      <c r="F89" s="7" t="s">
        <v>111</v>
      </c>
      <c r="G89" s="10"/>
      <c r="H89" s="9"/>
      <c r="I89" s="9"/>
      <c r="J89" s="14"/>
      <c r="K89" s="14"/>
      <c r="L89" s="14"/>
      <c r="M89" s="19"/>
      <c r="N89" s="14"/>
      <c r="O89" s="14"/>
      <c r="P89" s="14"/>
      <c r="Q89" s="14"/>
      <c r="R89" s="14"/>
      <c r="S89" s="19"/>
      <c r="T89" s="7"/>
      <c r="U89" s="24"/>
      <c r="V89" s="15"/>
      <c r="W89" s="4" t="s">
        <v>44</v>
      </c>
      <c r="X89" s="12">
        <f>0.8*$I89</f>
      </c>
      <c r="Y89" s="12">
        <f>2*J89</f>
      </c>
      <c r="Z89" s="4" t="s">
        <v>45</v>
      </c>
      <c r="AA89" s="11">
        <f>0.8*K89</f>
      </c>
      <c r="AB89" s="11">
        <f>2*K89</f>
      </c>
      <c r="AC89" s="4" t="s">
        <v>45</v>
      </c>
      <c r="AD89" s="13">
        <v>0.1</v>
      </c>
      <c r="AE89" s="11">
        <v>1</v>
      </c>
      <c r="AF89" s="11">
        <v>0</v>
      </c>
      <c r="AG89" s="4" t="s">
        <v>46</v>
      </c>
    </row>
    <row x14ac:dyDescent="0.25" r="90" customHeight="1" ht="38.25">
      <c r="A90" s="23">
        <v>215.341</v>
      </c>
      <c r="B90" s="6">
        <f>IF(ISNUMBER(A90),
IF(AND(A90=INT(A90), MOD(A90, 10) = 0), 0,
IF(AND(A90=INT(A90), LEN(A90)=2), 1,
IF(AND(A90=INT(A90), LEN(A90)=3), 2,
LEN(A90) - FIND(".", A90) + 2)
)
),
"")</f>
      </c>
      <c r="C90" s="7" t="s">
        <v>98</v>
      </c>
      <c r="D90" s="8">
        <f>REPT("   ", B90*2) &amp; C90</f>
      </c>
      <c r="E90" s="7" t="s">
        <v>35</v>
      </c>
      <c r="F90" s="7" t="s">
        <v>108</v>
      </c>
      <c r="G90" s="10">
        <v>4</v>
      </c>
      <c r="H90" s="9"/>
      <c r="I90" s="9"/>
      <c r="J90" s="14"/>
      <c r="K90" s="14"/>
      <c r="L90" s="14"/>
      <c r="M90" s="19"/>
      <c r="N90" s="14"/>
      <c r="O90" s="14"/>
      <c r="P90" s="14"/>
      <c r="Q90" s="14"/>
      <c r="R90" s="14"/>
      <c r="S90" s="19"/>
      <c r="T90" s="7"/>
      <c r="U90" s="24"/>
      <c r="V90" s="15"/>
      <c r="W90" s="4" t="s">
        <v>44</v>
      </c>
      <c r="X90" s="12">
        <f>0.8*$I90</f>
      </c>
      <c r="Y90" s="12">
        <f>2*J90</f>
      </c>
      <c r="Z90" s="4" t="s">
        <v>45</v>
      </c>
      <c r="AA90" s="11">
        <f>0.8*K90</f>
      </c>
      <c r="AB90" s="11">
        <f>2*K90</f>
      </c>
      <c r="AC90" s="4" t="s">
        <v>45</v>
      </c>
      <c r="AD90" s="13">
        <v>0.1</v>
      </c>
      <c r="AE90" s="11">
        <v>1</v>
      </c>
      <c r="AF90" s="11">
        <v>0</v>
      </c>
      <c r="AG90" s="4" t="s">
        <v>46</v>
      </c>
    </row>
    <row x14ac:dyDescent="0.25" r="91" customHeight="1" ht="27">
      <c r="A91" s="23">
        <v>215.39</v>
      </c>
      <c r="B91" s="6">
        <f>IF(ISNUMBER(A91),
IF(AND(A91=INT(A91), MOD(A91, 10) = 0), 0,
IF(AND(A91=INT(A91), LEN(A91)=2), 1,
IF(AND(A91=INT(A91), LEN(A91)=3), 2,
LEN(A91) - FIND(".", A91) + 2)
)
),
"")</f>
      </c>
      <c r="C91" s="7" t="s">
        <v>88</v>
      </c>
      <c r="D91" s="8">
        <f>REPT("   ", B91*2) &amp; C91</f>
      </c>
      <c r="E91" s="7" t="s">
        <v>35</v>
      </c>
      <c r="F91" s="7" t="s">
        <v>36</v>
      </c>
      <c r="G91" s="10">
        <v>1</v>
      </c>
      <c r="H91" s="9"/>
      <c r="I91" s="9"/>
      <c r="J91" s="14"/>
      <c r="K91" s="14"/>
      <c r="L91" s="14"/>
      <c r="M91" s="8">
        <f>_xlfn.CONCAT(C85, " Volume")</f>
      </c>
      <c r="N91" s="14"/>
      <c r="O91" s="14"/>
      <c r="P91" s="14"/>
      <c r="Q91" s="14"/>
      <c r="R91" s="14"/>
      <c r="S91" s="19"/>
      <c r="T91" s="7"/>
      <c r="U91" s="24"/>
      <c r="V91" s="15"/>
      <c r="W91" s="4" t="s">
        <v>44</v>
      </c>
      <c r="X91" s="12">
        <f>0.9*$I91</f>
      </c>
      <c r="Y91" s="12">
        <f>1.5*J91</f>
      </c>
      <c r="Z91" s="4" t="s">
        <v>45</v>
      </c>
      <c r="AA91" s="11">
        <f>0.9*K91</f>
      </c>
      <c r="AB91" s="11">
        <f>1.3*K91</f>
      </c>
      <c r="AC91" s="4" t="s">
        <v>45</v>
      </c>
      <c r="AD91" s="13">
        <v>0.1</v>
      </c>
      <c r="AE91" s="11">
        <v>1</v>
      </c>
      <c r="AF91" s="11">
        <v>0</v>
      </c>
      <c r="AG91" s="4" t="s">
        <v>46</v>
      </c>
    </row>
    <row x14ac:dyDescent="0.25" r="92" customHeight="1" ht="25.5">
      <c r="A92" s="23">
        <v>215.7</v>
      </c>
      <c r="B92" s="6">
        <f>IF(ISNUMBER(A92),
IF(AND(A92=INT(A92), MOD(A92, 10) = 0), 0,
IF(AND(A92=INT(A92), LEN(A92)=2), 1,
IF(AND(A92=INT(A92), LEN(A92)=3), 2,
LEN(A92) - FIND(".", A92) + 2)
)
),
"")</f>
      </c>
      <c r="C92" s="7" t="s">
        <v>112</v>
      </c>
      <c r="D92" s="8">
        <f>REPT("   ", B92*2) &amp; C92</f>
      </c>
      <c r="E92" s="9"/>
      <c r="F92" s="9"/>
      <c r="G92" s="10"/>
      <c r="H92" s="9"/>
      <c r="I92" s="9"/>
      <c r="J92" s="14"/>
      <c r="K92" s="14"/>
      <c r="L92" s="15"/>
      <c r="M92" s="7"/>
      <c r="N92" s="14"/>
      <c r="O92" s="15"/>
      <c r="P92" s="14"/>
      <c r="Q92" s="14"/>
      <c r="R92" s="15"/>
      <c r="S92" s="7"/>
      <c r="T92" s="7"/>
      <c r="U92" s="24"/>
      <c r="V92" s="15"/>
      <c r="W92" s="4"/>
      <c r="X92" s="12"/>
      <c r="Y92" s="12"/>
      <c r="Z92" s="4"/>
      <c r="AA92" s="11"/>
      <c r="AB92" s="11"/>
      <c r="AC92" s="4"/>
      <c r="AD92" s="13"/>
      <c r="AE92" s="11"/>
      <c r="AF92" s="11"/>
      <c r="AG92" s="4"/>
    </row>
    <row x14ac:dyDescent="0.25" r="93" customHeight="1" ht="67.5">
      <c r="A93" s="23">
        <v>215.71</v>
      </c>
      <c r="B93" s="6">
        <f>IF(ISNUMBER(A93),
IF(AND(A93=INT(A93), MOD(A93, 10) = 0), 0,
IF(AND(A93=INT(A93), LEN(A93)=2), 1,
IF(AND(A93=INT(A93), LEN(A93)=3), 2,
LEN(A93) - FIND(".", A93) + 2)
)
),
"")</f>
      </c>
      <c r="C93" s="8">
        <f>_xlfn.CONCAT(C92," Roof")</f>
      </c>
      <c r="D93" s="8">
        <f>REPT("   ", B93*2) &amp; C93</f>
      </c>
      <c r="E93" s="7" t="s">
        <v>35</v>
      </c>
      <c r="F93" s="7" t="s">
        <v>36</v>
      </c>
      <c r="G93" s="10">
        <v>1</v>
      </c>
      <c r="H93" s="9"/>
      <c r="I93" s="9"/>
      <c r="J93" s="14"/>
      <c r="K93" s="14">
        <f>1200</f>
      </c>
      <c r="L93" s="15" t="s">
        <v>74</v>
      </c>
      <c r="M93" s="8">
        <f>_xlfn.CONCAT(C93, " Volume")</f>
      </c>
      <c r="N93" s="14"/>
      <c r="O93" s="15" t="s">
        <v>76</v>
      </c>
      <c r="P93" s="14"/>
      <c r="Q93" s="14">
        <v>2024</v>
      </c>
      <c r="R93" s="15" t="s">
        <v>86</v>
      </c>
      <c r="S93" s="16" t="s">
        <v>87</v>
      </c>
      <c r="T93" s="16" t="s">
        <v>70</v>
      </c>
      <c r="U93" s="22" t="s">
        <v>71</v>
      </c>
      <c r="V93" s="15"/>
      <c r="W93" s="4" t="s">
        <v>44</v>
      </c>
      <c r="X93" s="12">
        <f>0.9*$I93</f>
      </c>
      <c r="Y93" s="12">
        <f>1.5*J93</f>
      </c>
      <c r="Z93" s="4" t="s">
        <v>45</v>
      </c>
      <c r="AA93" s="11">
        <f>0.9*K93</f>
      </c>
      <c r="AB93" s="11">
        <f>1.3*K93</f>
      </c>
      <c r="AC93" s="4" t="s">
        <v>45</v>
      </c>
      <c r="AD93" s="13">
        <v>0.1</v>
      </c>
      <c r="AE93" s="11">
        <v>1</v>
      </c>
      <c r="AF93" s="11">
        <v>0</v>
      </c>
      <c r="AG93" s="4" t="s">
        <v>46</v>
      </c>
    </row>
    <row x14ac:dyDescent="0.25" r="94" customHeight="1" ht="67.5">
      <c r="A94" s="23">
        <v>215.72</v>
      </c>
      <c r="B94" s="6">
        <f>IF(ISNUMBER(A94),
IF(AND(A94=INT(A94), MOD(A94, 10) = 0), 0,
IF(AND(A94=INT(A94), LEN(A94)=2), 1,
IF(AND(A94=INT(A94), LEN(A94)=3), 2,
LEN(A94) - FIND(".", A94) + 2)
)
),
"")</f>
      </c>
      <c r="C94" s="8">
        <f>_xlfn.CONCAT(C92," Basement")</f>
      </c>
      <c r="D94" s="8">
        <f>REPT("   ", B94*2) &amp; C94</f>
      </c>
      <c r="E94" s="7" t="s">
        <v>35</v>
      </c>
      <c r="F94" s="7" t="s">
        <v>36</v>
      </c>
      <c r="G94" s="10">
        <v>1</v>
      </c>
      <c r="H94" s="9"/>
      <c r="I94" s="9"/>
      <c r="J94" s="14"/>
      <c r="K94" s="14">
        <f>943.9</f>
      </c>
      <c r="L94" s="15" t="s">
        <v>74</v>
      </c>
      <c r="M94" s="8">
        <f>_xlfn.CONCAT(C94, " Volume")</f>
      </c>
      <c r="N94" s="14"/>
      <c r="O94" s="15" t="s">
        <v>76</v>
      </c>
      <c r="P94" s="14"/>
      <c r="Q94" s="14">
        <v>2024</v>
      </c>
      <c r="R94" s="15" t="s">
        <v>86</v>
      </c>
      <c r="S94" s="7"/>
      <c r="T94" s="7"/>
      <c r="U94" s="7"/>
      <c r="V94" s="15"/>
      <c r="W94" s="4" t="s">
        <v>44</v>
      </c>
      <c r="X94" s="12">
        <f>0.9*$I94</f>
      </c>
      <c r="Y94" s="12">
        <f>1.5*J94</f>
      </c>
      <c r="Z94" s="4" t="s">
        <v>45</v>
      </c>
      <c r="AA94" s="13">
        <f>0.9*K94</f>
      </c>
      <c r="AB94" s="13">
        <f>1.3*K94</f>
      </c>
      <c r="AC94" s="4" t="s">
        <v>45</v>
      </c>
      <c r="AD94" s="13">
        <v>0.1</v>
      </c>
      <c r="AE94" s="11">
        <v>1</v>
      </c>
      <c r="AF94" s="11">
        <v>0</v>
      </c>
      <c r="AG94" s="4" t="s">
        <v>46</v>
      </c>
    </row>
    <row x14ac:dyDescent="0.25" r="95" customHeight="1" ht="67.5">
      <c r="A95" s="23">
        <v>215.73</v>
      </c>
      <c r="B95" s="6">
        <f>IF(ISNUMBER(A95),
IF(AND(A95=INT(A95), MOD(A95, 10) = 0), 0,
IF(AND(A95=INT(A95), LEN(A95)=2), 1,
IF(AND(A95=INT(A95), LEN(A95)=3), 2,
LEN(A95) - FIND(".", A95) + 2)
)
),
"")</f>
      </c>
      <c r="C95" s="8">
        <f>_xlfn.CONCAT(C92," Walls")</f>
      </c>
      <c r="D95" s="8">
        <f>REPT("   ", B95*2) &amp; C95</f>
      </c>
      <c r="E95" s="7" t="s">
        <v>35</v>
      </c>
      <c r="F95" s="7" t="s">
        <v>36</v>
      </c>
      <c r="G95" s="10">
        <v>1</v>
      </c>
      <c r="H95" s="9"/>
      <c r="I95" s="9"/>
      <c r="J95" s="14"/>
      <c r="K95" s="14">
        <f>721.21</f>
      </c>
      <c r="L95" s="15" t="s">
        <v>74</v>
      </c>
      <c r="M95" s="8">
        <f>_xlfn.CONCAT(C95, " Volume")</f>
      </c>
      <c r="N95" s="14"/>
      <c r="O95" s="15" t="s">
        <v>76</v>
      </c>
      <c r="P95" s="14"/>
      <c r="Q95" s="14">
        <v>2024</v>
      </c>
      <c r="R95" s="15" t="s">
        <v>86</v>
      </c>
      <c r="S95" s="7"/>
      <c r="T95" s="7"/>
      <c r="U95" s="7"/>
      <c r="V95" s="15"/>
      <c r="W95" s="4" t="s">
        <v>44</v>
      </c>
      <c r="X95" s="12">
        <f>0.9*$I95</f>
      </c>
      <c r="Y95" s="12">
        <f>1.5*J95</f>
      </c>
      <c r="Z95" s="4" t="s">
        <v>45</v>
      </c>
      <c r="AA95" s="13">
        <f>0.9*K95</f>
      </c>
      <c r="AB95" s="13">
        <f>1.3*K95</f>
      </c>
      <c r="AC95" s="4" t="s">
        <v>45</v>
      </c>
      <c r="AD95" s="13">
        <v>0.1</v>
      </c>
      <c r="AE95" s="11">
        <v>1</v>
      </c>
      <c r="AF95" s="11">
        <v>0</v>
      </c>
      <c r="AG95" s="4" t="s">
        <v>46</v>
      </c>
    </row>
    <row x14ac:dyDescent="0.25" r="96" customHeight="1" ht="54">
      <c r="A96" s="23">
        <v>215.79</v>
      </c>
      <c r="B96" s="6">
        <f>IF(ISNUMBER(A96),
IF(AND(A96=INT(A96), MOD(A96, 10) = 0), 0,
IF(AND(A96=INT(A96), LEN(A96)=2), 1,
IF(AND(A96=INT(A96), LEN(A96)=3), 2,
LEN(A96) - FIND(".", A96) + 2)
)
),
"")</f>
      </c>
      <c r="C96" s="7" t="s">
        <v>88</v>
      </c>
      <c r="D96" s="8">
        <f>REPT("   ", B96*2) &amp; C96</f>
      </c>
      <c r="E96" s="7" t="s">
        <v>35</v>
      </c>
      <c r="F96" s="7" t="s">
        <v>36</v>
      </c>
      <c r="G96" s="10">
        <v>1</v>
      </c>
      <c r="H96" s="9"/>
      <c r="I96" s="9"/>
      <c r="J96" s="14"/>
      <c r="K96" s="14"/>
      <c r="L96" s="15" t="s">
        <v>74</v>
      </c>
      <c r="M96" s="8">
        <f>_xlfn.CONCAT(C92, " Volume")</f>
      </c>
      <c r="N96" s="14"/>
      <c r="O96" s="15" t="s">
        <v>76</v>
      </c>
      <c r="P96" s="14"/>
      <c r="Q96" s="14"/>
      <c r="R96" s="15"/>
      <c r="S96" s="7"/>
      <c r="T96" s="7"/>
      <c r="U96" s="24"/>
      <c r="V96" s="15"/>
      <c r="W96" s="4" t="s">
        <v>44</v>
      </c>
      <c r="X96" s="12">
        <f>0.9*$I96</f>
      </c>
      <c r="Y96" s="12">
        <f>1.5*J96</f>
      </c>
      <c r="Z96" s="4" t="s">
        <v>45</v>
      </c>
      <c r="AA96" s="11">
        <f>0.9*K96</f>
      </c>
      <c r="AB96" s="11">
        <f>1.3*K96</f>
      </c>
      <c r="AC96" s="4" t="s">
        <v>45</v>
      </c>
      <c r="AD96" s="13">
        <v>0.1</v>
      </c>
      <c r="AE96" s="11">
        <v>1</v>
      </c>
      <c r="AF96" s="11">
        <v>0</v>
      </c>
      <c r="AG96" s="4" t="s">
        <v>46</v>
      </c>
    </row>
    <row x14ac:dyDescent="0.25" r="97" customHeight="1" ht="25.5">
      <c r="A97" s="23">
        <v>215.8</v>
      </c>
      <c r="B97" s="6">
        <f>IF(ISNUMBER(A97),
IF(AND(A97=INT(A97), MOD(A97, 10) = 0), 0,
IF(AND(A97=INT(A97), LEN(A97)=2), 1,
IF(AND(A97=INT(A97), LEN(A97)=3), 2,
LEN(A97) - FIND(".", A97) + 2)
)
),
"")</f>
      </c>
      <c r="C97" s="7" t="s">
        <v>113</v>
      </c>
      <c r="D97" s="8">
        <f>REPT("   ", B97*2) &amp; C97</f>
      </c>
      <c r="E97" s="9"/>
      <c r="F97" s="9"/>
      <c r="G97" s="10"/>
      <c r="H97" s="9"/>
      <c r="I97" s="9"/>
      <c r="J97" s="14"/>
      <c r="K97" s="14"/>
      <c r="L97" s="15"/>
      <c r="M97" s="7"/>
      <c r="N97" s="14"/>
      <c r="O97" s="15"/>
      <c r="P97" s="14"/>
      <c r="Q97" s="14"/>
      <c r="R97" s="15"/>
      <c r="S97" s="7"/>
      <c r="T97" s="7"/>
      <c r="U97" s="24"/>
      <c r="V97" s="15"/>
      <c r="W97" s="4"/>
      <c r="X97" s="12"/>
      <c r="Y97" s="12"/>
      <c r="Z97" s="4"/>
      <c r="AA97" s="11"/>
      <c r="AB97" s="11"/>
      <c r="AC97" s="4"/>
      <c r="AD97" s="13"/>
      <c r="AE97" s="11"/>
      <c r="AF97" s="11"/>
      <c r="AG97" s="4"/>
    </row>
    <row x14ac:dyDescent="0.25" r="98" customHeight="1" ht="67.5">
      <c r="A98" s="23">
        <v>215.81</v>
      </c>
      <c r="B98" s="6">
        <f>IF(ISNUMBER(A98),
IF(AND(A98=INT(A98), MOD(A98, 10) = 0), 0,
IF(AND(A98=INT(A98), LEN(A98)=2), 1,
IF(AND(A98=INT(A98), LEN(A98)=3), 2,
LEN(A98) - FIND(".", A98) + 2)
)
),
"")</f>
      </c>
      <c r="C98" s="8">
        <f>_xlfn.CONCAT(C97," Roof")</f>
      </c>
      <c r="D98" s="8">
        <f>REPT("   ", B98*2) &amp; C98</f>
      </c>
      <c r="E98" s="7" t="s">
        <v>35</v>
      </c>
      <c r="F98" s="7" t="s">
        <v>36</v>
      </c>
      <c r="G98" s="10">
        <v>1</v>
      </c>
      <c r="H98" s="9"/>
      <c r="I98" s="9"/>
      <c r="J98" s="14"/>
      <c r="K98" s="14">
        <f>1200</f>
      </c>
      <c r="L98" s="15" t="s">
        <v>74</v>
      </c>
      <c r="M98" s="8">
        <f>_xlfn.CONCAT(C98, " Volume")</f>
      </c>
      <c r="N98" s="14"/>
      <c r="O98" s="15" t="s">
        <v>76</v>
      </c>
      <c r="P98" s="14"/>
      <c r="Q98" s="14">
        <v>2024</v>
      </c>
      <c r="R98" s="15" t="s">
        <v>86</v>
      </c>
      <c r="S98" s="16" t="s">
        <v>87</v>
      </c>
      <c r="T98" s="16" t="s">
        <v>70</v>
      </c>
      <c r="U98" s="22" t="s">
        <v>71</v>
      </c>
      <c r="V98" s="15"/>
      <c r="W98" s="4" t="s">
        <v>44</v>
      </c>
      <c r="X98" s="12">
        <f>0.9*$I98</f>
      </c>
      <c r="Y98" s="12">
        <f>1.5*J98</f>
      </c>
      <c r="Z98" s="4" t="s">
        <v>45</v>
      </c>
      <c r="AA98" s="11">
        <f>0.9*K98</f>
      </c>
      <c r="AB98" s="11">
        <f>1.3*K98</f>
      </c>
      <c r="AC98" s="4" t="s">
        <v>45</v>
      </c>
      <c r="AD98" s="13">
        <v>0.1</v>
      </c>
      <c r="AE98" s="11">
        <v>1</v>
      </c>
      <c r="AF98" s="11">
        <v>0</v>
      </c>
      <c r="AG98" s="4" t="s">
        <v>46</v>
      </c>
    </row>
    <row x14ac:dyDescent="0.25" r="99" customHeight="1" ht="67.5">
      <c r="A99" s="23">
        <v>215.82</v>
      </c>
      <c r="B99" s="6">
        <f>IF(ISNUMBER(A99),
IF(AND(A99=INT(A99), MOD(A99, 10) = 0), 0,
IF(AND(A99=INT(A99), LEN(A99)=2), 1,
IF(AND(A99=INT(A99), LEN(A99)=3), 2,
LEN(A99) - FIND(".", A99) + 2)
)
),
"")</f>
      </c>
      <c r="C99" s="8">
        <f>_xlfn.CONCAT(C97," Basement")</f>
      </c>
      <c r="D99" s="8">
        <f>REPT("   ", B99*2) &amp; C99</f>
      </c>
      <c r="E99" s="7" t="s">
        <v>35</v>
      </c>
      <c r="F99" s="7" t="s">
        <v>36</v>
      </c>
      <c r="G99" s="10">
        <v>1</v>
      </c>
      <c r="H99" s="9"/>
      <c r="I99" s="9"/>
      <c r="J99" s="14"/>
      <c r="K99" s="14">
        <f>943.9</f>
      </c>
      <c r="L99" s="15" t="s">
        <v>74</v>
      </c>
      <c r="M99" s="8">
        <f>_xlfn.CONCAT(C99, " Volume")</f>
      </c>
      <c r="N99" s="14"/>
      <c r="O99" s="15" t="s">
        <v>76</v>
      </c>
      <c r="P99" s="14"/>
      <c r="Q99" s="14">
        <v>2024</v>
      </c>
      <c r="R99" s="15" t="s">
        <v>86</v>
      </c>
      <c r="S99" s="7"/>
      <c r="T99" s="7"/>
      <c r="U99" s="7"/>
      <c r="V99" s="15"/>
      <c r="W99" s="4" t="s">
        <v>44</v>
      </c>
      <c r="X99" s="12">
        <f>0.9*$I99</f>
      </c>
      <c r="Y99" s="12">
        <f>1.5*J99</f>
      </c>
      <c r="Z99" s="4" t="s">
        <v>45</v>
      </c>
      <c r="AA99" s="13">
        <f>0.9*K99</f>
      </c>
      <c r="AB99" s="13">
        <f>1.3*K99</f>
      </c>
      <c r="AC99" s="4" t="s">
        <v>45</v>
      </c>
      <c r="AD99" s="13">
        <v>0.1</v>
      </c>
      <c r="AE99" s="11">
        <v>1</v>
      </c>
      <c r="AF99" s="11">
        <v>0</v>
      </c>
      <c r="AG99" s="4" t="s">
        <v>46</v>
      </c>
    </row>
    <row x14ac:dyDescent="0.25" r="100" customHeight="1" ht="67.5">
      <c r="A100" s="23">
        <v>215.83</v>
      </c>
      <c r="B100" s="6">
        <f>IF(ISNUMBER(A100),
IF(AND(A100=INT(A100), MOD(A100, 10) = 0), 0,
IF(AND(A100=INT(A100), LEN(A100)=2), 1,
IF(AND(A100=INT(A100), LEN(A100)=3), 2,
LEN(A100) - FIND(".", A100) + 2)
)
),
"")</f>
      </c>
      <c r="C100" s="8">
        <f>_xlfn.CONCAT(C97," Walls")</f>
      </c>
      <c r="D100" s="8">
        <f>REPT("   ", B100*2) &amp; C100</f>
      </c>
      <c r="E100" s="7" t="s">
        <v>35</v>
      </c>
      <c r="F100" s="7" t="s">
        <v>36</v>
      </c>
      <c r="G100" s="10">
        <v>1</v>
      </c>
      <c r="H100" s="9"/>
      <c r="I100" s="9"/>
      <c r="J100" s="14"/>
      <c r="K100" s="14">
        <f>721.21</f>
      </c>
      <c r="L100" s="15" t="s">
        <v>74</v>
      </c>
      <c r="M100" s="8">
        <f>_xlfn.CONCAT(C100, " Volume")</f>
      </c>
      <c r="N100" s="14"/>
      <c r="O100" s="15" t="s">
        <v>76</v>
      </c>
      <c r="P100" s="14"/>
      <c r="Q100" s="14">
        <v>2024</v>
      </c>
      <c r="R100" s="15" t="s">
        <v>86</v>
      </c>
      <c r="S100" s="7"/>
      <c r="T100" s="7"/>
      <c r="U100" s="7"/>
      <c r="V100" s="15"/>
      <c r="W100" s="4" t="s">
        <v>44</v>
      </c>
      <c r="X100" s="12">
        <f>0.9*$I100</f>
      </c>
      <c r="Y100" s="12">
        <f>1.5*J100</f>
      </c>
      <c r="Z100" s="4" t="s">
        <v>45</v>
      </c>
      <c r="AA100" s="13">
        <f>0.9*K100</f>
      </c>
      <c r="AB100" s="13">
        <f>1.3*K100</f>
      </c>
      <c r="AC100" s="4" t="s">
        <v>45</v>
      </c>
      <c r="AD100" s="13">
        <v>0.1</v>
      </c>
      <c r="AE100" s="11">
        <v>1</v>
      </c>
      <c r="AF100" s="11">
        <v>0</v>
      </c>
      <c r="AG100" s="4" t="s">
        <v>46</v>
      </c>
    </row>
    <row x14ac:dyDescent="0.25" r="101" customHeight="1" ht="54">
      <c r="A101" s="23">
        <v>215.89</v>
      </c>
      <c r="B101" s="6">
        <f>IF(ISNUMBER(A101),
IF(AND(A101=INT(A101), MOD(A101, 10) = 0), 0,
IF(AND(A101=INT(A101), LEN(A101)=2), 1,
IF(AND(A101=INT(A101), LEN(A101)=3), 2,
LEN(A101) - FIND(".", A101) + 2)
)
),
"")</f>
      </c>
      <c r="C101" s="7" t="s">
        <v>88</v>
      </c>
      <c r="D101" s="8">
        <f>REPT("   ", B101*2) &amp; C101</f>
      </c>
      <c r="E101" s="7" t="s">
        <v>35</v>
      </c>
      <c r="F101" s="7" t="s">
        <v>36</v>
      </c>
      <c r="G101" s="10">
        <v>1</v>
      </c>
      <c r="H101" s="9"/>
      <c r="I101" s="9"/>
      <c r="J101" s="14"/>
      <c r="K101" s="14"/>
      <c r="L101" s="15" t="s">
        <v>74</v>
      </c>
      <c r="M101" s="8">
        <f>_xlfn.CONCAT(C97, " Volume")</f>
      </c>
      <c r="N101" s="14"/>
      <c r="O101" s="15" t="s">
        <v>76</v>
      </c>
      <c r="P101" s="14"/>
      <c r="Q101" s="14"/>
      <c r="R101" s="15"/>
      <c r="S101" s="7"/>
      <c r="T101" s="7"/>
      <c r="U101" s="24"/>
      <c r="V101" s="15"/>
      <c r="W101" s="4" t="s">
        <v>44</v>
      </c>
      <c r="X101" s="12">
        <f>0.9*$I101</f>
      </c>
      <c r="Y101" s="12">
        <f>1.5*J101</f>
      </c>
      <c r="Z101" s="4" t="s">
        <v>45</v>
      </c>
      <c r="AA101" s="11">
        <f>0.9*K101</f>
      </c>
      <c r="AB101" s="11">
        <f>1.3*K101</f>
      </c>
      <c r="AC101" s="4" t="s">
        <v>45</v>
      </c>
      <c r="AD101" s="13">
        <v>0.1</v>
      </c>
      <c r="AE101" s="11">
        <v>1</v>
      </c>
      <c r="AF101" s="11">
        <v>0</v>
      </c>
      <c r="AG101" s="4" t="s">
        <v>46</v>
      </c>
    </row>
    <row x14ac:dyDescent="0.25" r="102" customHeight="1" ht="39">
      <c r="A102" s="23">
        <v>215.9</v>
      </c>
      <c r="B102" s="6">
        <f>IF(ISNUMBER(A102),
IF(AND(A102=INT(A102), MOD(A102, 10) = 0), 0,
IF(AND(A102=INT(A102), LEN(A102)=2), 1,
IF(AND(A102=INT(A102), LEN(A102)=3), 2,
LEN(A102) - FIND(".", A102) + 2)
)
),
"")</f>
      </c>
      <c r="C102" s="7" t="s">
        <v>78</v>
      </c>
      <c r="D102" s="8">
        <f>REPT("   ", B102*2) &amp; C102</f>
      </c>
      <c r="E102" s="7" t="s">
        <v>35</v>
      </c>
      <c r="F102" s="7" t="s">
        <v>36</v>
      </c>
      <c r="G102" s="10">
        <v>1</v>
      </c>
      <c r="H102" s="9"/>
      <c r="I102" s="9"/>
      <c r="J102" s="14"/>
      <c r="K102" s="14">
        <f>75/0.3048</f>
      </c>
      <c r="L102" s="15" t="s">
        <v>79</v>
      </c>
      <c r="M102" s="15" t="s">
        <v>114</v>
      </c>
      <c r="N102" s="14"/>
      <c r="O102" s="15"/>
      <c r="P102" s="14"/>
      <c r="Q102" s="14">
        <v>2009</v>
      </c>
      <c r="R102" s="15" t="s">
        <v>68</v>
      </c>
      <c r="S102" s="7" t="s">
        <v>81</v>
      </c>
      <c r="T102" s="7" t="s">
        <v>82</v>
      </c>
      <c r="U102" s="25" t="s">
        <v>83</v>
      </c>
      <c r="V102" s="15"/>
      <c r="W102" s="4" t="s">
        <v>44</v>
      </c>
      <c r="X102" s="12">
        <f>0.9*$J102</f>
      </c>
      <c r="Y102" s="12">
        <f>1.5*J102</f>
      </c>
      <c r="Z102" s="4" t="s">
        <v>45</v>
      </c>
      <c r="AA102" s="13">
        <f>0.9*K102</f>
      </c>
      <c r="AB102" s="13">
        <f>1.3*K102</f>
      </c>
      <c r="AC102" s="4" t="s">
        <v>45</v>
      </c>
      <c r="AD102" s="13">
        <v>0.1</v>
      </c>
      <c r="AE102" s="11">
        <v>1</v>
      </c>
      <c r="AF102" s="11">
        <v>0</v>
      </c>
      <c r="AG102" s="4" t="s">
        <v>46</v>
      </c>
    </row>
    <row x14ac:dyDescent="0.25" r="103" customHeight="1" ht="15">
      <c r="A103" s="20">
        <v>216</v>
      </c>
      <c r="B103" s="6">
        <v>2</v>
      </c>
      <c r="C103" s="7" t="s">
        <v>115</v>
      </c>
      <c r="D103" s="8">
        <f>REPT("   ", B103*2) &amp; C103</f>
      </c>
      <c r="E103" s="9"/>
      <c r="F103" s="9"/>
      <c r="G103" s="10"/>
      <c r="H103" s="9"/>
      <c r="I103" s="9"/>
      <c r="J103" s="14"/>
      <c r="K103" s="14"/>
      <c r="L103" s="14"/>
      <c r="M103" s="19"/>
      <c r="N103" s="14"/>
      <c r="O103" s="14"/>
      <c r="P103" s="14"/>
      <c r="Q103" s="14"/>
      <c r="R103" s="14"/>
      <c r="S103" s="19"/>
      <c r="T103" s="7"/>
      <c r="U103" s="24"/>
      <c r="V103" s="15"/>
      <c r="W103" s="4"/>
      <c r="X103" s="12"/>
      <c r="Y103" s="12"/>
      <c r="Z103" s="4"/>
      <c r="AA103" s="11"/>
      <c r="AB103" s="11"/>
      <c r="AC103" s="4"/>
      <c r="AD103" s="13"/>
      <c r="AE103" s="11"/>
      <c r="AF103" s="11"/>
      <c r="AG103" s="4"/>
    </row>
    <row x14ac:dyDescent="0.25" r="104" customHeight="1" ht="15">
      <c r="A104" s="23">
        <v>216.1</v>
      </c>
      <c r="B104" s="6">
        <v>3</v>
      </c>
      <c r="C104" s="7" t="s">
        <v>116</v>
      </c>
      <c r="D104" s="8">
        <f>REPT("   ", B104*2) &amp; C104</f>
      </c>
      <c r="E104" s="9"/>
      <c r="F104" s="9"/>
      <c r="G104" s="10"/>
      <c r="H104" s="9"/>
      <c r="I104" s="9"/>
      <c r="J104" s="14"/>
      <c r="K104" s="14"/>
      <c r="L104" s="14"/>
      <c r="M104" s="19"/>
      <c r="N104" s="14"/>
      <c r="O104" s="14"/>
      <c r="P104" s="14"/>
      <c r="Q104" s="14"/>
      <c r="R104" s="14"/>
      <c r="S104" s="19"/>
      <c r="T104" s="7"/>
      <c r="U104" s="24"/>
      <c r="V104" s="15"/>
      <c r="W104" s="4"/>
      <c r="X104" s="12"/>
      <c r="Y104" s="12"/>
      <c r="Z104" s="4"/>
      <c r="AA104" s="11"/>
      <c r="AB104" s="11"/>
      <c r="AC104" s="4"/>
      <c r="AD104" s="13"/>
      <c r="AE104" s="11"/>
      <c r="AF104" s="11"/>
      <c r="AG104" s="4"/>
    </row>
    <row x14ac:dyDescent="0.25" r="105" customHeight="1" ht="54">
      <c r="A105" s="23">
        <v>216.11</v>
      </c>
      <c r="B105" s="6">
        <v>4</v>
      </c>
      <c r="C105" s="8">
        <f>_xlfn.CONCAT(C104," Roof")</f>
      </c>
      <c r="D105" s="8">
        <f>REPT("   ", B105*2) &amp; C105</f>
      </c>
      <c r="E105" s="7" t="s">
        <v>35</v>
      </c>
      <c r="F105" s="7" t="s">
        <v>36</v>
      </c>
      <c r="G105" s="10">
        <v>1</v>
      </c>
      <c r="H105" s="9"/>
      <c r="I105" s="9"/>
      <c r="J105" s="14"/>
      <c r="K105" s="14">
        <f>1200 *1.53</f>
      </c>
      <c r="L105" s="15" t="s">
        <v>74</v>
      </c>
      <c r="M105" s="8">
        <f>_xlfn.CONCAT(C105, " Volume")</f>
      </c>
      <c r="N105" s="14"/>
      <c r="O105" s="15" t="s">
        <v>76</v>
      </c>
      <c r="P105" s="14"/>
      <c r="Q105" s="14">
        <v>2024</v>
      </c>
      <c r="R105" s="15" t="s">
        <v>86</v>
      </c>
      <c r="S105" s="16" t="s">
        <v>87</v>
      </c>
      <c r="T105" s="16" t="s">
        <v>70</v>
      </c>
      <c r="U105" s="22" t="s">
        <v>71</v>
      </c>
      <c r="V105" s="15"/>
      <c r="W105" s="4" t="s">
        <v>44</v>
      </c>
      <c r="X105" s="12">
        <f>0.9*$I105</f>
      </c>
      <c r="Y105" s="12">
        <f>1.5*J105</f>
      </c>
      <c r="Z105" s="4" t="s">
        <v>45</v>
      </c>
      <c r="AA105" s="13">
        <f>0.9*K105</f>
      </c>
      <c r="AB105" s="13">
        <f>1.3*K105</f>
      </c>
      <c r="AC105" s="4" t="s">
        <v>45</v>
      </c>
      <c r="AD105" s="13">
        <v>0.1</v>
      </c>
      <c r="AE105" s="11">
        <v>1</v>
      </c>
      <c r="AF105" s="11">
        <v>0</v>
      </c>
      <c r="AG105" s="4" t="s">
        <v>46</v>
      </c>
    </row>
    <row x14ac:dyDescent="0.25" r="106" customHeight="1" ht="54">
      <c r="A106" s="23">
        <v>216.12</v>
      </c>
      <c r="B106" s="6">
        <v>4</v>
      </c>
      <c r="C106" s="8">
        <f>_xlfn.CONCAT(C104," Basement")</f>
      </c>
      <c r="D106" s="8">
        <f>REPT("   ", B106*2) &amp; C106</f>
      </c>
      <c r="E106" s="7" t="s">
        <v>35</v>
      </c>
      <c r="F106" s="7" t="s">
        <v>36</v>
      </c>
      <c r="G106" s="10">
        <v>1</v>
      </c>
      <c r="H106" s="9"/>
      <c r="I106" s="9"/>
      <c r="J106" s="14"/>
      <c r="K106" s="14">
        <f>943.9*1.53</f>
      </c>
      <c r="L106" s="15" t="s">
        <v>74</v>
      </c>
      <c r="M106" s="8">
        <f>_xlfn.CONCAT(C106, " Volume")</f>
      </c>
      <c r="N106" s="14"/>
      <c r="O106" s="15" t="s">
        <v>76</v>
      </c>
      <c r="P106" s="14"/>
      <c r="Q106" s="14">
        <v>2024</v>
      </c>
      <c r="R106" s="15" t="s">
        <v>86</v>
      </c>
      <c r="S106" s="7"/>
      <c r="T106" s="7"/>
      <c r="U106" s="7"/>
      <c r="V106" s="15"/>
      <c r="W106" s="4" t="s">
        <v>44</v>
      </c>
      <c r="X106" s="12">
        <f>0.9*$I106</f>
      </c>
      <c r="Y106" s="12">
        <f>1.5*J106</f>
      </c>
      <c r="Z106" s="4" t="s">
        <v>45</v>
      </c>
      <c r="AA106" s="13">
        <f>0.9*K106</f>
      </c>
      <c r="AB106" s="13">
        <f>1.3*K106</f>
      </c>
      <c r="AC106" s="4" t="s">
        <v>45</v>
      </c>
      <c r="AD106" s="13">
        <v>0.1</v>
      </c>
      <c r="AE106" s="11">
        <v>1</v>
      </c>
      <c r="AF106" s="11">
        <v>0</v>
      </c>
      <c r="AG106" s="4" t="s">
        <v>46</v>
      </c>
    </row>
    <row x14ac:dyDescent="0.25" r="107" customHeight="1" ht="54">
      <c r="A107" s="23">
        <v>216.13</v>
      </c>
      <c r="B107" s="6">
        <f>IF(ISNUMBER(A107),
IF(AND(A107=INT(A107), MOD(A107, 10) = 0), 0,
IF(AND(A107=INT(A107), LEN(A107)=2), 1,
IF(AND(A107=INT(A107), LEN(A107)=3), 2,
LEN(A107) - FIND(".", A107) + 2)
)
),
"")</f>
      </c>
      <c r="C107" s="8">
        <f>_xlfn.CONCAT(C104," Walls")</f>
      </c>
      <c r="D107" s="8">
        <f>REPT("   ", B107*2) &amp; C107</f>
      </c>
      <c r="E107" s="7" t="s">
        <v>35</v>
      </c>
      <c r="F107" s="7" t="s">
        <v>36</v>
      </c>
      <c r="G107" s="10">
        <v>1</v>
      </c>
      <c r="H107" s="9"/>
      <c r="I107" s="9"/>
      <c r="J107" s="14"/>
      <c r="K107" s="14">
        <f>721.21*1.53</f>
      </c>
      <c r="L107" s="15" t="s">
        <v>74</v>
      </c>
      <c r="M107" s="8">
        <f>_xlfn.CONCAT(C107, " Volume")</f>
      </c>
      <c r="N107" s="14"/>
      <c r="O107" s="15" t="s">
        <v>76</v>
      </c>
      <c r="P107" s="14"/>
      <c r="Q107" s="14">
        <v>2024</v>
      </c>
      <c r="R107" s="15" t="s">
        <v>86</v>
      </c>
      <c r="S107" s="7"/>
      <c r="T107" s="7"/>
      <c r="U107" s="7"/>
      <c r="V107" s="15"/>
      <c r="W107" s="4" t="s">
        <v>44</v>
      </c>
      <c r="X107" s="12">
        <f>0.9*$I107</f>
      </c>
      <c r="Y107" s="12">
        <f>1.5*J107</f>
      </c>
      <c r="Z107" s="4" t="s">
        <v>45</v>
      </c>
      <c r="AA107" s="13">
        <f>0.9*K107</f>
      </c>
      <c r="AB107" s="13">
        <f>1.3*K107</f>
      </c>
      <c r="AC107" s="4" t="s">
        <v>45</v>
      </c>
      <c r="AD107" s="13">
        <v>0.1</v>
      </c>
      <c r="AE107" s="11">
        <v>1</v>
      </c>
      <c r="AF107" s="11">
        <v>0</v>
      </c>
      <c r="AG107" s="4" t="s">
        <v>46</v>
      </c>
    </row>
    <row x14ac:dyDescent="0.25" r="108" customHeight="1" ht="15">
      <c r="A108" s="23">
        <v>216.14</v>
      </c>
      <c r="B108" s="6">
        <f>IF(ISNUMBER(A108),
IF(AND(A108=INT(A108), MOD(A108, 10) = 0), 0,
IF(AND(A108=INT(A108), LEN(A108)=2), 1,
IF(AND(A108=INT(A108), LEN(A108)=3), 2,
LEN(A108) - FIND(".", A108) + 2)
)
),
"")</f>
      </c>
      <c r="C108" s="7" t="s">
        <v>117</v>
      </c>
      <c r="D108" s="8">
        <f>REPT("   ", B108*2) &amp; C108</f>
      </c>
      <c r="E108" s="7" t="s">
        <v>35</v>
      </c>
      <c r="F108" s="7" t="s">
        <v>36</v>
      </c>
      <c r="G108" s="10">
        <v>1</v>
      </c>
      <c r="H108" s="9"/>
      <c r="I108" s="9"/>
      <c r="J108" s="14"/>
      <c r="K108" s="14"/>
      <c r="L108" s="15"/>
      <c r="M108" s="7"/>
      <c r="N108" s="14"/>
      <c r="O108" s="15"/>
      <c r="P108" s="14"/>
      <c r="Q108" s="14"/>
      <c r="R108" s="15"/>
      <c r="S108" s="7"/>
      <c r="T108" s="7"/>
      <c r="U108" s="24"/>
      <c r="V108" s="15"/>
      <c r="W108" s="4" t="s">
        <v>44</v>
      </c>
      <c r="X108" s="12">
        <f>0.8*$I108</f>
      </c>
      <c r="Y108" s="12">
        <f>2*J108</f>
      </c>
      <c r="Z108" s="4" t="s">
        <v>45</v>
      </c>
      <c r="AA108" s="11">
        <f>0.8*K108</f>
      </c>
      <c r="AB108" s="11">
        <f>2*K108</f>
      </c>
      <c r="AC108" s="4" t="s">
        <v>45</v>
      </c>
      <c r="AD108" s="13">
        <v>0.1</v>
      </c>
      <c r="AE108" s="11">
        <v>1</v>
      </c>
      <c r="AF108" s="11">
        <v>0</v>
      </c>
      <c r="AG108" s="4" t="s">
        <v>46</v>
      </c>
    </row>
    <row x14ac:dyDescent="0.25" r="109" customHeight="1" ht="15">
      <c r="A109" s="23">
        <v>216.141</v>
      </c>
      <c r="B109" s="6">
        <f>IF(ISNUMBER(A109),
IF(AND(A109=INT(A109), MOD(A109, 10) = 0), 0,
IF(AND(A109=INT(A109), LEN(A109)=2), 1,
IF(AND(A109=INT(A109), LEN(A109)=3), 2,
LEN(A109) - FIND(".", A109) + 2)
)
),
"")</f>
      </c>
      <c r="C109" s="7" t="s">
        <v>98</v>
      </c>
      <c r="D109" s="8">
        <f>REPT("   ", B109*2) &amp; C109</f>
      </c>
      <c r="E109" s="7" t="s">
        <v>35</v>
      </c>
      <c r="F109" s="7" t="s">
        <v>36</v>
      </c>
      <c r="G109" s="10">
        <v>1</v>
      </c>
      <c r="H109" s="9"/>
      <c r="I109" s="9"/>
      <c r="J109" s="14"/>
      <c r="K109" s="14"/>
      <c r="L109" s="15"/>
      <c r="M109" s="7"/>
      <c r="N109" s="14"/>
      <c r="O109" s="15"/>
      <c r="P109" s="14"/>
      <c r="Q109" s="14"/>
      <c r="R109" s="15"/>
      <c r="S109" s="7"/>
      <c r="T109" s="7"/>
      <c r="U109" s="24"/>
      <c r="V109" s="15"/>
      <c r="W109" s="4" t="s">
        <v>44</v>
      </c>
      <c r="X109" s="12">
        <f>0.8*$I109</f>
      </c>
      <c r="Y109" s="12">
        <f>2*J109</f>
      </c>
      <c r="Z109" s="4" t="s">
        <v>45</v>
      </c>
      <c r="AA109" s="11">
        <f>0.8*K109</f>
      </c>
      <c r="AB109" s="11">
        <f>2*K109</f>
      </c>
      <c r="AC109" s="4" t="s">
        <v>45</v>
      </c>
      <c r="AD109" s="13">
        <v>0.1</v>
      </c>
      <c r="AE109" s="11">
        <v>1</v>
      </c>
      <c r="AF109" s="11">
        <v>0</v>
      </c>
      <c r="AG109" s="4" t="s">
        <v>46</v>
      </c>
    </row>
    <row x14ac:dyDescent="0.25" r="110" customHeight="1" ht="38.25">
      <c r="A110" s="23">
        <v>216.29</v>
      </c>
      <c r="B110" s="6">
        <f>IF(ISNUMBER(A110),
IF(AND(A110=INT(A110), MOD(A110, 10) = 0), 0,
IF(AND(A110=INT(A110), LEN(A110)=2), 1,
IF(AND(A110=INT(A110), LEN(A110)=3), 2,
LEN(A110) - FIND(".", A110) + 2)
)
),
"")</f>
      </c>
      <c r="C110" s="7" t="s">
        <v>88</v>
      </c>
      <c r="D110" s="8">
        <f>REPT("   ", B110*2) &amp; C110</f>
      </c>
      <c r="E110" s="7" t="s">
        <v>35</v>
      </c>
      <c r="F110" s="7" t="s">
        <v>36</v>
      </c>
      <c r="G110" s="10">
        <v>1</v>
      </c>
      <c r="H110" s="9"/>
      <c r="I110" s="9"/>
      <c r="J110" s="14"/>
      <c r="K110" s="14"/>
      <c r="L110" s="15" t="s">
        <v>74</v>
      </c>
      <c r="M110" s="7" t="s">
        <v>118</v>
      </c>
      <c r="N110" s="14"/>
      <c r="O110" s="15" t="s">
        <v>76</v>
      </c>
      <c r="P110" s="14"/>
      <c r="Q110" s="14"/>
      <c r="R110" s="15"/>
      <c r="S110" s="7"/>
      <c r="T110" s="7"/>
      <c r="U110" s="24"/>
      <c r="V110" s="15"/>
      <c r="W110" s="4" t="s">
        <v>44</v>
      </c>
      <c r="X110" s="12">
        <f>0.9*$I110</f>
      </c>
      <c r="Y110" s="12">
        <f>1.5*J110</f>
      </c>
      <c r="Z110" s="4" t="s">
        <v>45</v>
      </c>
      <c r="AA110" s="11">
        <f>0.9*K110</f>
      </c>
      <c r="AB110" s="11">
        <f>1.3*K110</f>
      </c>
      <c r="AC110" s="4" t="s">
        <v>45</v>
      </c>
      <c r="AD110" s="13">
        <v>0.1</v>
      </c>
      <c r="AE110" s="11">
        <v>1</v>
      </c>
      <c r="AF110" s="11">
        <v>0</v>
      </c>
      <c r="AG110" s="4" t="s">
        <v>46</v>
      </c>
    </row>
    <row x14ac:dyDescent="0.25" r="111" customHeight="1" ht="15">
      <c r="A111" s="23">
        <v>216.2</v>
      </c>
      <c r="B111" s="6">
        <f>IF(ISNUMBER(A111),
IF(AND(A111=INT(A111), MOD(A111, 10) = 0), 0,
IF(AND(A111=INT(A111), LEN(A111)=2), 1,
IF(AND(A111=INT(A111), LEN(A111)=3), 2,
LEN(A111) - FIND(".", A111) + 2)
)
),
"")</f>
      </c>
      <c r="C111" s="7" t="s">
        <v>119</v>
      </c>
      <c r="D111" s="8">
        <f>REPT("   ", B111*2) &amp; C111</f>
      </c>
      <c r="E111" s="9"/>
      <c r="F111" s="9"/>
      <c r="G111" s="10"/>
      <c r="H111" s="9"/>
      <c r="I111" s="9"/>
      <c r="J111" s="14"/>
      <c r="K111" s="14"/>
      <c r="L111" s="15"/>
      <c r="M111" s="15"/>
      <c r="N111" s="14"/>
      <c r="O111" s="14"/>
      <c r="P111" s="14"/>
      <c r="Q111" s="14"/>
      <c r="R111" s="14"/>
      <c r="S111" s="19"/>
      <c r="T111" s="7"/>
      <c r="U111" s="24"/>
      <c r="V111" s="15"/>
      <c r="W111" s="4"/>
      <c r="X111" s="12"/>
      <c r="Y111" s="12"/>
      <c r="Z111" s="4"/>
      <c r="AA111" s="11"/>
      <c r="AB111" s="11"/>
      <c r="AC111" s="4"/>
      <c r="AD111" s="13"/>
      <c r="AE111" s="11"/>
      <c r="AF111" s="11"/>
      <c r="AG111" s="4"/>
    </row>
    <row x14ac:dyDescent="0.25" r="112" customHeight="1" ht="54">
      <c r="A112" s="23">
        <v>216.21</v>
      </c>
      <c r="B112" s="6">
        <f>IF(ISNUMBER(A112),
IF(AND(A112=INT(A112), MOD(A112, 10) = 0), 0,
IF(AND(A112=INT(A112), LEN(A112)=2), 1,
IF(AND(A112=INT(A112), LEN(A112)=3), 2,
LEN(A112) - FIND(".", A112) + 2)
)
),
"")</f>
      </c>
      <c r="C112" s="8">
        <f>_xlfn.CONCAT(C111," Roof")</f>
      </c>
      <c r="D112" s="8">
        <f>REPT("   ", B112*2) &amp; C112</f>
      </c>
      <c r="E112" s="7" t="s">
        <v>35</v>
      </c>
      <c r="F112" s="7" t="s">
        <v>36</v>
      </c>
      <c r="G112" s="10">
        <v>1</v>
      </c>
      <c r="H112" s="9"/>
      <c r="I112" s="9"/>
      <c r="J112" s="14"/>
      <c r="K112" s="14">
        <f>1200 *1.53</f>
      </c>
      <c r="L112" s="15" t="s">
        <v>74</v>
      </c>
      <c r="M112" s="8">
        <f>_xlfn.CONCAT(C112, " Volume")</f>
      </c>
      <c r="N112" s="14"/>
      <c r="O112" s="15" t="s">
        <v>76</v>
      </c>
      <c r="P112" s="14"/>
      <c r="Q112" s="14">
        <v>2024</v>
      </c>
      <c r="R112" s="15" t="s">
        <v>86</v>
      </c>
      <c r="S112" s="16" t="s">
        <v>69</v>
      </c>
      <c r="T112" s="16" t="s">
        <v>70</v>
      </c>
      <c r="U112" s="22" t="s">
        <v>71</v>
      </c>
      <c r="V112" s="15"/>
      <c r="W112" s="4" t="s">
        <v>44</v>
      </c>
      <c r="X112" s="12">
        <f>0.9*$I112</f>
      </c>
      <c r="Y112" s="12">
        <f>1.5*J112</f>
      </c>
      <c r="Z112" s="4" t="s">
        <v>45</v>
      </c>
      <c r="AA112" s="13">
        <f>0.9*K112</f>
      </c>
      <c r="AB112" s="13">
        <f>1.3*K112</f>
      </c>
      <c r="AC112" s="4" t="s">
        <v>45</v>
      </c>
      <c r="AD112" s="13">
        <v>0.1</v>
      </c>
      <c r="AE112" s="11">
        <v>1</v>
      </c>
      <c r="AF112" s="11">
        <v>0</v>
      </c>
      <c r="AG112" s="4" t="s">
        <v>46</v>
      </c>
    </row>
    <row x14ac:dyDescent="0.25" r="113" customHeight="1" ht="54">
      <c r="A113" s="23">
        <v>216.22</v>
      </c>
      <c r="B113" s="6">
        <f>IF(ISNUMBER(A113),
IF(AND(A113=INT(A113), MOD(A113, 10) = 0), 0,
IF(AND(A113=INT(A113), LEN(A113)=2), 1,
IF(AND(A113=INT(A113), LEN(A113)=3), 2,
LEN(A113) - FIND(".", A113) + 2)
)
),
"")</f>
      </c>
      <c r="C113" s="8">
        <f>_xlfn.CONCAT(C111," Basement")</f>
      </c>
      <c r="D113" s="8">
        <f>REPT("   ", B113*2) &amp; C113</f>
      </c>
      <c r="E113" s="7" t="s">
        <v>35</v>
      </c>
      <c r="F113" s="7" t="s">
        <v>36</v>
      </c>
      <c r="G113" s="10">
        <v>1</v>
      </c>
      <c r="H113" s="9"/>
      <c r="I113" s="9"/>
      <c r="J113" s="14"/>
      <c r="K113" s="14">
        <f>943.9*1.53</f>
      </c>
      <c r="L113" s="15" t="s">
        <v>74</v>
      </c>
      <c r="M113" s="8">
        <f>_xlfn.CONCAT(C113, " Volume")</f>
      </c>
      <c r="N113" s="14"/>
      <c r="O113" s="15" t="s">
        <v>76</v>
      </c>
      <c r="P113" s="14"/>
      <c r="Q113" s="14">
        <v>2024</v>
      </c>
      <c r="R113" s="15" t="s">
        <v>86</v>
      </c>
      <c r="S113" s="7"/>
      <c r="T113" s="7"/>
      <c r="U113" s="7"/>
      <c r="V113" s="15"/>
      <c r="W113" s="4" t="s">
        <v>44</v>
      </c>
      <c r="X113" s="12">
        <f>0.9*$I113</f>
      </c>
      <c r="Y113" s="12">
        <f>1.5*J113</f>
      </c>
      <c r="Z113" s="4" t="s">
        <v>45</v>
      </c>
      <c r="AA113" s="13">
        <f>0.9*K113</f>
      </c>
      <c r="AB113" s="13">
        <f>1.3*K113</f>
      </c>
      <c r="AC113" s="4" t="s">
        <v>45</v>
      </c>
      <c r="AD113" s="13">
        <v>0.1</v>
      </c>
      <c r="AE113" s="11">
        <v>1</v>
      </c>
      <c r="AF113" s="11">
        <v>0</v>
      </c>
      <c r="AG113" s="4" t="s">
        <v>46</v>
      </c>
    </row>
    <row x14ac:dyDescent="0.25" r="114" customHeight="1" ht="54">
      <c r="A114" s="23">
        <v>216.23</v>
      </c>
      <c r="B114" s="6">
        <f>IF(ISNUMBER(A114),
IF(AND(A114=INT(A114), MOD(A114, 10) = 0), 0,
IF(AND(A114=INT(A114), LEN(A114)=2), 1,
IF(AND(A114=INT(A114), LEN(A114)=3), 2,
LEN(A114) - FIND(".", A114) + 2)
)
),
"")</f>
      </c>
      <c r="C114" s="8">
        <f>_xlfn.CONCAT(C111," Walls")</f>
      </c>
      <c r="D114" s="8">
        <f>REPT("   ", B114*2) &amp; C114</f>
      </c>
      <c r="E114" s="7" t="s">
        <v>35</v>
      </c>
      <c r="F114" s="7" t="s">
        <v>36</v>
      </c>
      <c r="G114" s="10">
        <v>1</v>
      </c>
      <c r="H114" s="9"/>
      <c r="I114" s="9"/>
      <c r="J114" s="14"/>
      <c r="K114" s="14">
        <f>721.21*1.53</f>
      </c>
      <c r="L114" s="15" t="s">
        <v>74</v>
      </c>
      <c r="M114" s="8">
        <f>_xlfn.CONCAT(C114, " Volume")</f>
      </c>
      <c r="N114" s="14"/>
      <c r="O114" s="15" t="s">
        <v>76</v>
      </c>
      <c r="P114" s="14"/>
      <c r="Q114" s="14">
        <v>2024</v>
      </c>
      <c r="R114" s="15" t="s">
        <v>86</v>
      </c>
      <c r="S114" s="7"/>
      <c r="T114" s="7"/>
      <c r="U114" s="7"/>
      <c r="V114" s="15"/>
      <c r="W114" s="4" t="s">
        <v>44</v>
      </c>
      <c r="X114" s="12">
        <f>0.9*$I114</f>
      </c>
      <c r="Y114" s="12">
        <f>1.5*J114</f>
      </c>
      <c r="Z114" s="4" t="s">
        <v>45</v>
      </c>
      <c r="AA114" s="13">
        <f>0.9*K114</f>
      </c>
      <c r="AB114" s="13">
        <f>1.3*K114</f>
      </c>
      <c r="AC114" s="4" t="s">
        <v>45</v>
      </c>
      <c r="AD114" s="13">
        <v>0.1</v>
      </c>
      <c r="AE114" s="11">
        <v>1</v>
      </c>
      <c r="AF114" s="11">
        <v>0</v>
      </c>
      <c r="AG114" s="4" t="s">
        <v>46</v>
      </c>
    </row>
    <row x14ac:dyDescent="0.25" r="115" customHeight="1" ht="38.25">
      <c r="A115" s="23">
        <v>216.29</v>
      </c>
      <c r="B115" s="6">
        <f>IF(ISNUMBER(A115),
IF(AND(A115=INT(A115), MOD(A115, 10) = 0), 0,
IF(AND(A115=INT(A115), LEN(A115)=2), 1,
IF(AND(A115=INT(A115), LEN(A115)=3), 2,
LEN(A115) - FIND(".", A115) + 2)
)
),
"")</f>
      </c>
      <c r="C115" s="7" t="s">
        <v>88</v>
      </c>
      <c r="D115" s="8">
        <f>REPT("   ", B115*2) &amp; C115</f>
      </c>
      <c r="E115" s="7" t="s">
        <v>35</v>
      </c>
      <c r="F115" s="7" t="s">
        <v>36</v>
      </c>
      <c r="G115" s="10">
        <v>1</v>
      </c>
      <c r="H115" s="9"/>
      <c r="I115" s="9"/>
      <c r="J115" s="14"/>
      <c r="K115" s="14"/>
      <c r="L115" s="15" t="s">
        <v>74</v>
      </c>
      <c r="M115" s="7" t="s">
        <v>120</v>
      </c>
      <c r="N115" s="14"/>
      <c r="O115" s="15" t="s">
        <v>76</v>
      </c>
      <c r="P115" s="14"/>
      <c r="Q115" s="14"/>
      <c r="R115" s="15"/>
      <c r="S115" s="7"/>
      <c r="T115" s="7"/>
      <c r="U115" s="24"/>
      <c r="V115" s="15"/>
      <c r="W115" s="4" t="s">
        <v>44</v>
      </c>
      <c r="X115" s="12">
        <f>0.9*$I115</f>
      </c>
      <c r="Y115" s="12">
        <f>1.5*J115</f>
      </c>
      <c r="Z115" s="4" t="s">
        <v>45</v>
      </c>
      <c r="AA115" s="11">
        <f>0.9*K115</f>
      </c>
      <c r="AB115" s="11">
        <f>1.3*K115</f>
      </c>
      <c r="AC115" s="4" t="s">
        <v>45</v>
      </c>
      <c r="AD115" s="13">
        <v>0.1</v>
      </c>
      <c r="AE115" s="11">
        <v>1</v>
      </c>
      <c r="AF115" s="11">
        <v>0</v>
      </c>
      <c r="AG115" s="4" t="s">
        <v>46</v>
      </c>
    </row>
    <row x14ac:dyDescent="0.25" r="116" customHeight="1" ht="25.5">
      <c r="A116" s="23">
        <v>216.3</v>
      </c>
      <c r="B116" s="6">
        <v>3</v>
      </c>
      <c r="C116" s="7" t="s">
        <v>121</v>
      </c>
      <c r="D116" s="8">
        <f>REPT("   ", B116*2) &amp; C116</f>
      </c>
      <c r="E116" s="9"/>
      <c r="F116" s="9"/>
      <c r="G116" s="10"/>
      <c r="H116" s="9"/>
      <c r="I116" s="9"/>
      <c r="J116" s="14"/>
      <c r="K116" s="14"/>
      <c r="L116" s="15"/>
      <c r="M116" s="7"/>
      <c r="N116" s="14"/>
      <c r="O116" s="15"/>
      <c r="P116" s="14"/>
      <c r="Q116" s="14"/>
      <c r="R116" s="15"/>
      <c r="S116" s="7"/>
      <c r="T116" s="7"/>
      <c r="U116" s="24"/>
      <c r="V116" s="15"/>
      <c r="W116" s="4"/>
      <c r="X116" s="12"/>
      <c r="Y116" s="12"/>
      <c r="Z116" s="4"/>
      <c r="AA116" s="11"/>
      <c r="AB116" s="11"/>
      <c r="AC116" s="4"/>
      <c r="AD116" s="13"/>
      <c r="AE116" s="11"/>
      <c r="AF116" s="11"/>
      <c r="AG116" s="4"/>
    </row>
    <row x14ac:dyDescent="0.25" r="117" customHeight="1" ht="94.5">
      <c r="A117" s="23">
        <v>216.31</v>
      </c>
      <c r="B117" s="6">
        <v>4</v>
      </c>
      <c r="C117" s="8">
        <f>_xlfn.CONCAT(C116," Roof")</f>
      </c>
      <c r="D117" s="8">
        <f>REPT("   ", B117*2) &amp; C117</f>
      </c>
      <c r="E117" s="7" t="s">
        <v>35</v>
      </c>
      <c r="F117" s="7" t="s">
        <v>36</v>
      </c>
      <c r="G117" s="10">
        <v>1</v>
      </c>
      <c r="H117" s="9"/>
      <c r="I117" s="9"/>
      <c r="J117" s="14"/>
      <c r="K117" s="14">
        <f>1200 *1.53</f>
      </c>
      <c r="L117" s="15" t="s">
        <v>74</v>
      </c>
      <c r="M117" s="8">
        <f>_xlfn.CONCAT(C117, " Volume")</f>
      </c>
      <c r="N117" s="14"/>
      <c r="O117" s="15" t="s">
        <v>76</v>
      </c>
      <c r="P117" s="14"/>
      <c r="Q117" s="14">
        <v>2024</v>
      </c>
      <c r="R117" s="15" t="s">
        <v>86</v>
      </c>
      <c r="S117" s="16" t="s">
        <v>87</v>
      </c>
      <c r="T117" s="16" t="s">
        <v>70</v>
      </c>
      <c r="U117" s="22" t="s">
        <v>71</v>
      </c>
      <c r="V117" s="15"/>
      <c r="W117" s="4" t="s">
        <v>44</v>
      </c>
      <c r="X117" s="12">
        <f>0.9*$I117</f>
      </c>
      <c r="Y117" s="12">
        <f>1.5*J117</f>
      </c>
      <c r="Z117" s="4" t="s">
        <v>45</v>
      </c>
      <c r="AA117" s="13">
        <f>0.9*K117</f>
      </c>
      <c r="AB117" s="13">
        <f>1.3*K117</f>
      </c>
      <c r="AC117" s="4" t="s">
        <v>45</v>
      </c>
      <c r="AD117" s="13">
        <v>0.1</v>
      </c>
      <c r="AE117" s="11">
        <v>1</v>
      </c>
      <c r="AF117" s="11">
        <v>0</v>
      </c>
      <c r="AG117" s="4" t="s">
        <v>46</v>
      </c>
    </row>
    <row x14ac:dyDescent="0.25" r="118" customHeight="1" ht="94.5">
      <c r="A118" s="23">
        <v>216.32</v>
      </c>
      <c r="B118" s="6">
        <v>4</v>
      </c>
      <c r="C118" s="8">
        <f>_xlfn.CONCAT(C116," Basement")</f>
      </c>
      <c r="D118" s="8">
        <f>REPT("   ", B118*2) &amp; C118</f>
      </c>
      <c r="E118" s="7" t="s">
        <v>35</v>
      </c>
      <c r="F118" s="7" t="s">
        <v>36</v>
      </c>
      <c r="G118" s="10">
        <v>1</v>
      </c>
      <c r="H118" s="9"/>
      <c r="I118" s="9"/>
      <c r="J118" s="14"/>
      <c r="K118" s="14">
        <f>943.9*1.53</f>
      </c>
      <c r="L118" s="15" t="s">
        <v>74</v>
      </c>
      <c r="M118" s="8">
        <f>_xlfn.CONCAT(C118, " Volume")</f>
      </c>
      <c r="N118" s="14"/>
      <c r="O118" s="15" t="s">
        <v>76</v>
      </c>
      <c r="P118" s="14"/>
      <c r="Q118" s="14">
        <v>2024</v>
      </c>
      <c r="R118" s="15" t="s">
        <v>86</v>
      </c>
      <c r="S118" s="7"/>
      <c r="T118" s="7"/>
      <c r="U118" s="7"/>
      <c r="V118" s="15"/>
      <c r="W118" s="4" t="s">
        <v>44</v>
      </c>
      <c r="X118" s="12">
        <f>0.9*$I118</f>
      </c>
      <c r="Y118" s="12">
        <f>1.5*J118</f>
      </c>
      <c r="Z118" s="4" t="s">
        <v>45</v>
      </c>
      <c r="AA118" s="13">
        <f>0.9*K118</f>
      </c>
      <c r="AB118" s="13">
        <f>1.3*K118</f>
      </c>
      <c r="AC118" s="4" t="s">
        <v>45</v>
      </c>
      <c r="AD118" s="13">
        <v>0.1</v>
      </c>
      <c r="AE118" s="11">
        <v>1</v>
      </c>
      <c r="AF118" s="11">
        <v>0</v>
      </c>
      <c r="AG118" s="4" t="s">
        <v>46</v>
      </c>
    </row>
    <row x14ac:dyDescent="0.25" r="119" customHeight="1" ht="94.5">
      <c r="A119" s="23">
        <v>216.33</v>
      </c>
      <c r="B119" s="6">
        <v>4</v>
      </c>
      <c r="C119" s="8">
        <f>_xlfn.CONCAT(C116," Walls")</f>
      </c>
      <c r="D119" s="8">
        <f>REPT("   ", B119*2) &amp; C119</f>
      </c>
      <c r="E119" s="7" t="s">
        <v>35</v>
      </c>
      <c r="F119" s="7" t="s">
        <v>36</v>
      </c>
      <c r="G119" s="10">
        <v>1</v>
      </c>
      <c r="H119" s="9"/>
      <c r="I119" s="9"/>
      <c r="J119" s="14"/>
      <c r="K119" s="14">
        <f>721.21*1.53</f>
      </c>
      <c r="L119" s="15" t="s">
        <v>74</v>
      </c>
      <c r="M119" s="8">
        <f>_xlfn.CONCAT(C119, " Volume")</f>
      </c>
      <c r="N119" s="14"/>
      <c r="O119" s="15" t="s">
        <v>76</v>
      </c>
      <c r="P119" s="14"/>
      <c r="Q119" s="14">
        <v>2024</v>
      </c>
      <c r="R119" s="15" t="s">
        <v>86</v>
      </c>
      <c r="S119" s="7"/>
      <c r="T119" s="7"/>
      <c r="U119" s="7"/>
      <c r="V119" s="15"/>
      <c r="W119" s="4" t="s">
        <v>44</v>
      </c>
      <c r="X119" s="12">
        <f>0.9*$I119</f>
      </c>
      <c r="Y119" s="12">
        <f>1.5*J119</f>
      </c>
      <c r="Z119" s="4" t="s">
        <v>45</v>
      </c>
      <c r="AA119" s="13">
        <f>0.9*K119</f>
      </c>
      <c r="AB119" s="13">
        <f>1.3*K119</f>
      </c>
      <c r="AC119" s="4" t="s">
        <v>45</v>
      </c>
      <c r="AD119" s="13">
        <v>0.1</v>
      </c>
      <c r="AE119" s="11">
        <v>1</v>
      </c>
      <c r="AF119" s="11">
        <v>0</v>
      </c>
      <c r="AG119" s="4" t="s">
        <v>46</v>
      </c>
    </row>
    <row x14ac:dyDescent="0.25" r="120" customHeight="1" ht="94.5">
      <c r="A120" s="23">
        <v>216.39</v>
      </c>
      <c r="B120" s="6">
        <v>4</v>
      </c>
      <c r="C120" s="7" t="s">
        <v>88</v>
      </c>
      <c r="D120" s="8">
        <f>REPT("   ", B120*2) &amp; C120</f>
      </c>
      <c r="E120" s="7" t="s">
        <v>35</v>
      </c>
      <c r="F120" s="7" t="s">
        <v>36</v>
      </c>
      <c r="G120" s="10">
        <v>1</v>
      </c>
      <c r="H120" s="9"/>
      <c r="I120" s="9"/>
      <c r="J120" s="14"/>
      <c r="K120" s="14"/>
      <c r="L120" s="15" t="s">
        <v>74</v>
      </c>
      <c r="M120" s="8">
        <f>_xlfn.CONCAT(C116, " Volume")</f>
      </c>
      <c r="N120" s="14"/>
      <c r="O120" s="15" t="s">
        <v>76</v>
      </c>
      <c r="P120" s="14"/>
      <c r="Q120" s="14"/>
      <c r="R120" s="15"/>
      <c r="S120" s="7"/>
      <c r="T120" s="7"/>
      <c r="U120" s="24"/>
      <c r="V120" s="15"/>
      <c r="W120" s="4" t="s">
        <v>44</v>
      </c>
      <c r="X120" s="12">
        <f>0.9*$I120</f>
      </c>
      <c r="Y120" s="12">
        <f>1.5*J120</f>
      </c>
      <c r="Z120" s="4" t="s">
        <v>45</v>
      </c>
      <c r="AA120" s="11">
        <f>0.9*K120</f>
      </c>
      <c r="AB120" s="11">
        <f>1.3*K120</f>
      </c>
      <c r="AC120" s="4" t="s">
        <v>45</v>
      </c>
      <c r="AD120" s="13">
        <v>0.1</v>
      </c>
      <c r="AE120" s="11">
        <v>1</v>
      </c>
      <c r="AF120" s="11">
        <v>0</v>
      </c>
      <c r="AG120" s="4" t="s">
        <v>46</v>
      </c>
    </row>
    <row x14ac:dyDescent="0.25" r="121" customHeight="1" ht="25.5">
      <c r="A121" s="23">
        <v>216.7</v>
      </c>
      <c r="B121" s="6">
        <v>3</v>
      </c>
      <c r="C121" s="7" t="s">
        <v>122</v>
      </c>
      <c r="D121" s="8">
        <f>REPT("   ", B121*2) &amp; C121</f>
      </c>
      <c r="E121" s="9"/>
      <c r="F121" s="9"/>
      <c r="G121" s="10"/>
      <c r="H121" s="9"/>
      <c r="I121" s="9"/>
      <c r="J121" s="14"/>
      <c r="K121" s="14"/>
      <c r="L121" s="15"/>
      <c r="M121" s="7"/>
      <c r="N121" s="14"/>
      <c r="O121" s="15"/>
      <c r="P121" s="14"/>
      <c r="Q121" s="14"/>
      <c r="R121" s="15"/>
      <c r="S121" s="7"/>
      <c r="T121" s="7"/>
      <c r="U121" s="24"/>
      <c r="V121" s="15"/>
      <c r="W121" s="4"/>
      <c r="X121" s="12"/>
      <c r="Y121" s="12"/>
      <c r="Z121" s="4"/>
      <c r="AA121" s="11"/>
      <c r="AB121" s="11"/>
      <c r="AC121" s="4"/>
      <c r="AD121" s="13"/>
      <c r="AE121" s="11"/>
      <c r="AF121" s="11"/>
      <c r="AG121" s="4"/>
    </row>
    <row x14ac:dyDescent="0.25" r="122" customHeight="1" ht="81">
      <c r="A122" s="23">
        <v>216.71</v>
      </c>
      <c r="B122" s="6">
        <f>IF(ISNUMBER(A122),
IF(AND(A122=INT(A122), MOD(A122, 10) = 0), 0,
IF(AND(A122=INT(A122), LEN(A122)=2), 1,
IF(AND(A122=INT(A122), LEN(A122)=3), 2,
LEN(A122) - FIND(".", A122) + 2)
)
),
"")</f>
      </c>
      <c r="C122" s="8">
        <f>_xlfn.CONCAT(C121," Roof")</f>
      </c>
      <c r="D122" s="8">
        <f>REPT("   ", B122*2) &amp; C122</f>
      </c>
      <c r="E122" s="7" t="s">
        <v>35</v>
      </c>
      <c r="F122" s="7" t="s">
        <v>36</v>
      </c>
      <c r="G122" s="10">
        <v>1</v>
      </c>
      <c r="H122" s="9"/>
      <c r="I122" s="9"/>
      <c r="J122" s="14"/>
      <c r="K122" s="14">
        <f>1200</f>
      </c>
      <c r="L122" s="15" t="s">
        <v>74</v>
      </c>
      <c r="M122" s="8">
        <f>_xlfn.CONCAT(C122, " Volume")</f>
      </c>
      <c r="N122" s="14"/>
      <c r="O122" s="15" t="s">
        <v>76</v>
      </c>
      <c r="P122" s="14"/>
      <c r="Q122" s="14">
        <v>2024</v>
      </c>
      <c r="R122" s="15" t="s">
        <v>86</v>
      </c>
      <c r="S122" s="16" t="s">
        <v>87</v>
      </c>
      <c r="T122" s="16" t="s">
        <v>70</v>
      </c>
      <c r="U122" s="22" t="s">
        <v>71</v>
      </c>
      <c r="V122" s="15"/>
      <c r="W122" s="4" t="s">
        <v>44</v>
      </c>
      <c r="X122" s="12">
        <f>0.9*$I122</f>
      </c>
      <c r="Y122" s="12">
        <f>1.5*J122</f>
      </c>
      <c r="Z122" s="4" t="s">
        <v>45</v>
      </c>
      <c r="AA122" s="11">
        <f>0.9*K122</f>
      </c>
      <c r="AB122" s="11">
        <f>1.3*K122</f>
      </c>
      <c r="AC122" s="4" t="s">
        <v>45</v>
      </c>
      <c r="AD122" s="13">
        <v>0.1</v>
      </c>
      <c r="AE122" s="11">
        <v>1</v>
      </c>
      <c r="AF122" s="11">
        <v>0</v>
      </c>
      <c r="AG122" s="4" t="s">
        <v>46</v>
      </c>
    </row>
    <row x14ac:dyDescent="0.25" r="123" customHeight="1" ht="81">
      <c r="A123" s="23">
        <v>216.72</v>
      </c>
      <c r="B123" s="6">
        <f>IF(ISNUMBER(A123),
IF(AND(A123=INT(A123), MOD(A123, 10) = 0), 0,
IF(AND(A123=INT(A123), LEN(A123)=2), 1,
IF(AND(A123=INT(A123), LEN(A123)=3), 2,
LEN(A123) - FIND(".", A123) + 2)
)
),
"")</f>
      </c>
      <c r="C123" s="8">
        <f>_xlfn.CONCAT(C121," Basement")</f>
      </c>
      <c r="D123" s="8">
        <f>REPT("   ", B123*2) &amp; C123</f>
      </c>
      <c r="E123" s="7" t="s">
        <v>35</v>
      </c>
      <c r="F123" s="7" t="s">
        <v>36</v>
      </c>
      <c r="G123" s="10">
        <v>1</v>
      </c>
      <c r="H123" s="9"/>
      <c r="I123" s="9"/>
      <c r="J123" s="14"/>
      <c r="K123" s="14">
        <f>943.9</f>
      </c>
      <c r="L123" s="15" t="s">
        <v>74</v>
      </c>
      <c r="M123" s="8">
        <f>_xlfn.CONCAT(C123, " Volume")</f>
      </c>
      <c r="N123" s="14"/>
      <c r="O123" s="15" t="s">
        <v>76</v>
      </c>
      <c r="P123" s="14"/>
      <c r="Q123" s="14">
        <v>2024</v>
      </c>
      <c r="R123" s="15" t="s">
        <v>86</v>
      </c>
      <c r="S123" s="7"/>
      <c r="T123" s="7"/>
      <c r="U123" s="7"/>
      <c r="V123" s="15"/>
      <c r="W123" s="4" t="s">
        <v>44</v>
      </c>
      <c r="X123" s="12">
        <f>0.9*$I123</f>
      </c>
      <c r="Y123" s="12">
        <f>1.5*J123</f>
      </c>
      <c r="Z123" s="4" t="s">
        <v>45</v>
      </c>
      <c r="AA123" s="13">
        <f>0.9*K123</f>
      </c>
      <c r="AB123" s="13">
        <f>1.3*K123</f>
      </c>
      <c r="AC123" s="4" t="s">
        <v>45</v>
      </c>
      <c r="AD123" s="13">
        <v>0.1</v>
      </c>
      <c r="AE123" s="11">
        <v>1</v>
      </c>
      <c r="AF123" s="11">
        <v>0</v>
      </c>
      <c r="AG123" s="4" t="s">
        <v>46</v>
      </c>
    </row>
    <row x14ac:dyDescent="0.25" r="124" customHeight="1" ht="81">
      <c r="A124" s="23">
        <v>216.73</v>
      </c>
      <c r="B124" s="6">
        <f>IF(ISNUMBER(A124),
IF(AND(A124=INT(A124), MOD(A124, 10) = 0), 0,
IF(AND(A124=INT(A124), LEN(A124)=2), 1,
IF(AND(A124=INT(A124), LEN(A124)=3), 2,
LEN(A124) - FIND(".", A124) + 2)
)
),
"")</f>
      </c>
      <c r="C124" s="8">
        <f>_xlfn.CONCAT(C121," Walls")</f>
      </c>
      <c r="D124" s="8">
        <f>REPT("   ", B124*2) &amp; C124</f>
      </c>
      <c r="E124" s="7" t="s">
        <v>35</v>
      </c>
      <c r="F124" s="7" t="s">
        <v>36</v>
      </c>
      <c r="G124" s="10">
        <v>1</v>
      </c>
      <c r="H124" s="9"/>
      <c r="I124" s="9"/>
      <c r="J124" s="14"/>
      <c r="K124" s="14">
        <f>721.21</f>
      </c>
      <c r="L124" s="15" t="s">
        <v>74</v>
      </c>
      <c r="M124" s="8">
        <f>_xlfn.CONCAT(C124, " Volume")</f>
      </c>
      <c r="N124" s="14"/>
      <c r="O124" s="15" t="s">
        <v>76</v>
      </c>
      <c r="P124" s="14"/>
      <c r="Q124" s="14">
        <v>2024</v>
      </c>
      <c r="R124" s="15" t="s">
        <v>86</v>
      </c>
      <c r="S124" s="7"/>
      <c r="T124" s="7"/>
      <c r="U124" s="7"/>
      <c r="V124" s="15"/>
      <c r="W124" s="4" t="s">
        <v>44</v>
      </c>
      <c r="X124" s="12">
        <f>0.9*$I124</f>
      </c>
      <c r="Y124" s="12">
        <f>1.5*J124</f>
      </c>
      <c r="Z124" s="4" t="s">
        <v>45</v>
      </c>
      <c r="AA124" s="13">
        <f>0.9*K124</f>
      </c>
      <c r="AB124" s="13">
        <f>1.3*K124</f>
      </c>
      <c r="AC124" s="4" t="s">
        <v>45</v>
      </c>
      <c r="AD124" s="13">
        <v>0.1</v>
      </c>
      <c r="AE124" s="11">
        <v>1</v>
      </c>
      <c r="AF124" s="11">
        <v>0</v>
      </c>
      <c r="AG124" s="4" t="s">
        <v>46</v>
      </c>
    </row>
    <row x14ac:dyDescent="0.25" r="125" customHeight="1" ht="67.5">
      <c r="A125" s="23">
        <v>216.79</v>
      </c>
      <c r="B125" s="6">
        <f>IF(ISNUMBER(A125),
IF(AND(A125=INT(A125), MOD(A125, 10) = 0), 0,
IF(AND(A125=INT(A125), LEN(A125)=2), 1,
IF(AND(A125=INT(A125), LEN(A125)=3), 2,
LEN(A125) - FIND(".", A125) + 2)
)
),
"")</f>
      </c>
      <c r="C125" s="7" t="s">
        <v>88</v>
      </c>
      <c r="D125" s="8">
        <f>REPT("   ", B125*2) &amp; C125</f>
      </c>
      <c r="E125" s="7" t="s">
        <v>35</v>
      </c>
      <c r="F125" s="7" t="s">
        <v>36</v>
      </c>
      <c r="G125" s="10">
        <v>1</v>
      </c>
      <c r="H125" s="9"/>
      <c r="I125" s="9"/>
      <c r="J125" s="14"/>
      <c r="K125" s="14"/>
      <c r="L125" s="15" t="s">
        <v>74</v>
      </c>
      <c r="M125" s="8">
        <f>_xlfn.CONCAT(C121, " Volume")</f>
      </c>
      <c r="N125" s="14"/>
      <c r="O125" s="15" t="s">
        <v>76</v>
      </c>
      <c r="P125" s="14"/>
      <c r="Q125" s="14"/>
      <c r="R125" s="15"/>
      <c r="S125" s="7"/>
      <c r="T125" s="7"/>
      <c r="U125" s="24"/>
      <c r="V125" s="15"/>
      <c r="W125" s="4" t="s">
        <v>44</v>
      </c>
      <c r="X125" s="12">
        <f>0.9*$I125</f>
      </c>
      <c r="Y125" s="12">
        <f>1.5*J125</f>
      </c>
      <c r="Z125" s="4" t="s">
        <v>45</v>
      </c>
      <c r="AA125" s="11">
        <f>0.9*K125</f>
      </c>
      <c r="AB125" s="11">
        <f>1.3*K125</f>
      </c>
      <c r="AC125" s="4" t="s">
        <v>45</v>
      </c>
      <c r="AD125" s="13">
        <v>0.1</v>
      </c>
      <c r="AE125" s="11">
        <v>1</v>
      </c>
      <c r="AF125" s="11">
        <v>0</v>
      </c>
      <c r="AG125" s="4" t="s">
        <v>46</v>
      </c>
    </row>
    <row x14ac:dyDescent="0.25" r="126" customHeight="1" ht="25.5">
      <c r="A126" s="23">
        <v>216.8</v>
      </c>
      <c r="B126" s="6">
        <f>IF(ISNUMBER(A126),
IF(AND(A126=INT(A126), MOD(A126, 10) = 0), 0,
IF(AND(A126=INT(A126), LEN(A126)=2), 1,
IF(AND(A126=INT(A126), LEN(A126)=3), 2,
LEN(A126) - FIND(".", A126) + 2)
)
),
"")</f>
      </c>
      <c r="C126" s="7" t="s">
        <v>123</v>
      </c>
      <c r="D126" s="8">
        <f>REPT("   ", B126*2) &amp; C126</f>
      </c>
      <c r="E126" s="9"/>
      <c r="F126" s="9"/>
      <c r="G126" s="10"/>
      <c r="H126" s="9"/>
      <c r="I126" s="9"/>
      <c r="J126" s="14"/>
      <c r="K126" s="14"/>
      <c r="L126" s="15"/>
      <c r="M126" s="7"/>
      <c r="N126" s="14"/>
      <c r="O126" s="15"/>
      <c r="P126" s="14"/>
      <c r="Q126" s="14"/>
      <c r="R126" s="15"/>
      <c r="S126" s="7"/>
      <c r="T126" s="7"/>
      <c r="U126" s="24"/>
      <c r="V126" s="15"/>
      <c r="W126" s="4"/>
      <c r="X126" s="12"/>
      <c r="Y126" s="12"/>
      <c r="Z126" s="4"/>
      <c r="AA126" s="11"/>
      <c r="AB126" s="11"/>
      <c r="AC126" s="4"/>
      <c r="AD126" s="13"/>
      <c r="AE126" s="11"/>
      <c r="AF126" s="11"/>
      <c r="AG126" s="4"/>
    </row>
    <row x14ac:dyDescent="0.25" r="127" customHeight="1" ht="81">
      <c r="A127" s="23">
        <v>216.81</v>
      </c>
      <c r="B127" s="6">
        <f>IF(ISNUMBER(A127),
IF(AND(A127=INT(A127), MOD(A127, 10) = 0), 0,
IF(AND(A127=INT(A127), LEN(A127)=2), 1,
IF(AND(A127=INT(A127), LEN(A127)=3), 2,
LEN(A127) - FIND(".", A127) + 2)
)
),
"")</f>
      </c>
      <c r="C127" s="8">
        <f>_xlfn.CONCAT(C126," Roof")</f>
      </c>
      <c r="D127" s="8">
        <f>REPT("   ", B127*2) &amp; C127</f>
      </c>
      <c r="E127" s="7" t="s">
        <v>35</v>
      </c>
      <c r="F127" s="7" t="s">
        <v>36</v>
      </c>
      <c r="G127" s="10">
        <v>1</v>
      </c>
      <c r="H127" s="9"/>
      <c r="I127" s="9"/>
      <c r="J127" s="14"/>
      <c r="K127" s="14">
        <f>1200</f>
      </c>
      <c r="L127" s="15" t="s">
        <v>74</v>
      </c>
      <c r="M127" s="8">
        <f>_xlfn.CONCAT(C127, " Volume")</f>
      </c>
      <c r="N127" s="14"/>
      <c r="O127" s="15" t="s">
        <v>76</v>
      </c>
      <c r="P127" s="14"/>
      <c r="Q127" s="14">
        <v>2024</v>
      </c>
      <c r="R127" s="15" t="s">
        <v>86</v>
      </c>
      <c r="S127" s="16" t="s">
        <v>87</v>
      </c>
      <c r="T127" s="16" t="s">
        <v>70</v>
      </c>
      <c r="U127" s="22" t="s">
        <v>71</v>
      </c>
      <c r="V127" s="15"/>
      <c r="W127" s="4" t="s">
        <v>44</v>
      </c>
      <c r="X127" s="12">
        <f>0.9*$I127</f>
      </c>
      <c r="Y127" s="12">
        <f>1.5*J127</f>
      </c>
      <c r="Z127" s="4" t="s">
        <v>45</v>
      </c>
      <c r="AA127" s="11">
        <f>0.9*K127</f>
      </c>
      <c r="AB127" s="11">
        <f>1.3*K127</f>
      </c>
      <c r="AC127" s="4" t="s">
        <v>45</v>
      </c>
      <c r="AD127" s="13">
        <v>0.1</v>
      </c>
      <c r="AE127" s="11">
        <v>1</v>
      </c>
      <c r="AF127" s="11">
        <v>0</v>
      </c>
      <c r="AG127" s="4" t="s">
        <v>46</v>
      </c>
    </row>
    <row x14ac:dyDescent="0.25" r="128" customHeight="1" ht="81">
      <c r="A128" s="23">
        <v>216.82</v>
      </c>
      <c r="B128" s="6">
        <f>IF(ISNUMBER(A128),
IF(AND(A128=INT(A128), MOD(A128, 10) = 0), 0,
IF(AND(A128=INT(A128), LEN(A128)=2), 1,
IF(AND(A128=INT(A128), LEN(A128)=3), 2,
LEN(A128) - FIND(".", A128) + 2)
)
),
"")</f>
      </c>
      <c r="C128" s="8">
        <f>_xlfn.CONCAT(C126," Basement")</f>
      </c>
      <c r="D128" s="8">
        <f>REPT("   ", B128*2) &amp; C128</f>
      </c>
      <c r="E128" s="7" t="s">
        <v>35</v>
      </c>
      <c r="F128" s="7" t="s">
        <v>36</v>
      </c>
      <c r="G128" s="10">
        <v>1</v>
      </c>
      <c r="H128" s="9"/>
      <c r="I128" s="9"/>
      <c r="J128" s="14"/>
      <c r="K128" s="14">
        <f>943.9</f>
      </c>
      <c r="L128" s="15" t="s">
        <v>74</v>
      </c>
      <c r="M128" s="8">
        <f>_xlfn.CONCAT(C128, " Volume")</f>
      </c>
      <c r="N128" s="14"/>
      <c r="O128" s="15" t="s">
        <v>76</v>
      </c>
      <c r="P128" s="14"/>
      <c r="Q128" s="14">
        <v>2024</v>
      </c>
      <c r="R128" s="15" t="s">
        <v>86</v>
      </c>
      <c r="S128" s="7"/>
      <c r="T128" s="7"/>
      <c r="U128" s="7"/>
      <c r="V128" s="15"/>
      <c r="W128" s="4" t="s">
        <v>44</v>
      </c>
      <c r="X128" s="12">
        <f>0.9*$I128</f>
      </c>
      <c r="Y128" s="12">
        <f>1.5*J128</f>
      </c>
      <c r="Z128" s="4" t="s">
        <v>45</v>
      </c>
      <c r="AA128" s="13">
        <f>0.9*K128</f>
      </c>
      <c r="AB128" s="13">
        <f>1.3*K128</f>
      </c>
      <c r="AC128" s="4" t="s">
        <v>45</v>
      </c>
      <c r="AD128" s="13">
        <v>0.1</v>
      </c>
      <c r="AE128" s="11">
        <v>1</v>
      </c>
      <c r="AF128" s="11">
        <v>0</v>
      </c>
      <c r="AG128" s="4" t="s">
        <v>46</v>
      </c>
    </row>
    <row x14ac:dyDescent="0.25" r="129" customHeight="1" ht="81">
      <c r="A129" s="23">
        <v>216.83</v>
      </c>
      <c r="B129" s="6">
        <f>IF(ISNUMBER(A129),
IF(AND(A129=INT(A129), MOD(A129, 10) = 0), 0,
IF(AND(A129=INT(A129), LEN(A129)=2), 1,
IF(AND(A129=INT(A129), LEN(A129)=3), 2,
LEN(A129) - FIND(".", A129) + 2)
)
),
"")</f>
      </c>
      <c r="C129" s="8">
        <f>_xlfn.CONCAT(C126," Walls")</f>
      </c>
      <c r="D129" s="8">
        <f>REPT("   ", B129*2) &amp; C129</f>
      </c>
      <c r="E129" s="7" t="s">
        <v>35</v>
      </c>
      <c r="F129" s="7" t="s">
        <v>36</v>
      </c>
      <c r="G129" s="10">
        <v>1</v>
      </c>
      <c r="H129" s="9"/>
      <c r="I129" s="9"/>
      <c r="J129" s="14"/>
      <c r="K129" s="14">
        <f>721.21</f>
      </c>
      <c r="L129" s="15" t="s">
        <v>74</v>
      </c>
      <c r="M129" s="8">
        <f>_xlfn.CONCAT(C129, " Volume")</f>
      </c>
      <c r="N129" s="14"/>
      <c r="O129" s="15" t="s">
        <v>76</v>
      </c>
      <c r="P129" s="14"/>
      <c r="Q129" s="14">
        <v>2024</v>
      </c>
      <c r="R129" s="15" t="s">
        <v>86</v>
      </c>
      <c r="S129" s="7"/>
      <c r="T129" s="7"/>
      <c r="U129" s="7"/>
      <c r="V129" s="15"/>
      <c r="W129" s="4" t="s">
        <v>44</v>
      </c>
      <c r="X129" s="12">
        <f>0.9*$I129</f>
      </c>
      <c r="Y129" s="12">
        <f>1.5*J129</f>
      </c>
      <c r="Z129" s="4" t="s">
        <v>45</v>
      </c>
      <c r="AA129" s="13">
        <f>0.9*K129</f>
      </c>
      <c r="AB129" s="13">
        <f>1.3*K129</f>
      </c>
      <c r="AC129" s="4" t="s">
        <v>45</v>
      </c>
      <c r="AD129" s="13">
        <v>0.1</v>
      </c>
      <c r="AE129" s="11">
        <v>1</v>
      </c>
      <c r="AF129" s="11">
        <v>0</v>
      </c>
      <c r="AG129" s="4" t="s">
        <v>46</v>
      </c>
    </row>
    <row x14ac:dyDescent="0.25" r="130" customHeight="1" ht="67.5">
      <c r="A130" s="23">
        <v>216.89</v>
      </c>
      <c r="B130" s="6">
        <f>IF(ISNUMBER(A130),
IF(AND(A130=INT(A130), MOD(A130, 10) = 0), 0,
IF(AND(A130=INT(A130), LEN(A130)=2), 1,
IF(AND(A130=INT(A130), LEN(A130)=3), 2,
LEN(A130) - FIND(".", A130) + 2)
)
),
"")</f>
      </c>
      <c r="C130" s="7" t="s">
        <v>88</v>
      </c>
      <c r="D130" s="8">
        <f>REPT("   ", B130*2) &amp; C130</f>
      </c>
      <c r="E130" s="7" t="s">
        <v>35</v>
      </c>
      <c r="F130" s="7" t="s">
        <v>36</v>
      </c>
      <c r="G130" s="10">
        <v>1</v>
      </c>
      <c r="H130" s="9"/>
      <c r="I130" s="9"/>
      <c r="J130" s="14"/>
      <c r="K130" s="14"/>
      <c r="L130" s="15" t="s">
        <v>74</v>
      </c>
      <c r="M130" s="8">
        <f>_xlfn.CONCAT(C126, " Volume")</f>
      </c>
      <c r="N130" s="14"/>
      <c r="O130" s="15" t="s">
        <v>76</v>
      </c>
      <c r="P130" s="14"/>
      <c r="Q130" s="14"/>
      <c r="R130" s="15"/>
      <c r="S130" s="7"/>
      <c r="T130" s="7"/>
      <c r="U130" s="24"/>
      <c r="V130" s="15"/>
      <c r="W130" s="4" t="s">
        <v>44</v>
      </c>
      <c r="X130" s="12">
        <f>0.9*$I130</f>
      </c>
      <c r="Y130" s="12">
        <f>1.5*J130</f>
      </c>
      <c r="Z130" s="4" t="s">
        <v>45</v>
      </c>
      <c r="AA130" s="11">
        <f>0.9*K130</f>
      </c>
      <c r="AB130" s="11">
        <f>1.3*K130</f>
      </c>
      <c r="AC130" s="4" t="s">
        <v>45</v>
      </c>
      <c r="AD130" s="13">
        <v>0.1</v>
      </c>
      <c r="AE130" s="11">
        <v>1</v>
      </c>
      <c r="AF130" s="11">
        <v>0</v>
      </c>
      <c r="AG130" s="4" t="s">
        <v>46</v>
      </c>
    </row>
    <row x14ac:dyDescent="0.25" r="131" customHeight="1" ht="39">
      <c r="A131" s="23">
        <v>216.9</v>
      </c>
      <c r="B131" s="6">
        <f>IF(ISNUMBER(A131),
IF(AND(A131=INT(A131), MOD(A131, 10) = 0), 0,
IF(AND(A131=INT(A131), LEN(A131)=2), 1,
IF(AND(A131=INT(A131), LEN(A131)=3), 2,
LEN(A131) - FIND(".", A131) + 2)
)
),
"")</f>
      </c>
      <c r="C131" s="7" t="s">
        <v>78</v>
      </c>
      <c r="D131" s="8">
        <f>REPT("   ", B131*2) &amp; C131</f>
      </c>
      <c r="E131" s="7" t="s">
        <v>35</v>
      </c>
      <c r="F131" s="7" t="s">
        <v>36</v>
      </c>
      <c r="G131" s="10">
        <v>1</v>
      </c>
      <c r="H131" s="9"/>
      <c r="I131" s="9"/>
      <c r="J131" s="14"/>
      <c r="K131" s="14">
        <f>75/0.3048</f>
      </c>
      <c r="L131" s="15" t="s">
        <v>79</v>
      </c>
      <c r="M131" s="7" t="s">
        <v>124</v>
      </c>
      <c r="N131" s="14"/>
      <c r="O131" s="15"/>
      <c r="P131" s="14"/>
      <c r="Q131" s="14">
        <v>2009</v>
      </c>
      <c r="R131" s="15" t="s">
        <v>68</v>
      </c>
      <c r="S131" s="7" t="s">
        <v>81</v>
      </c>
      <c r="T131" s="7" t="s">
        <v>82</v>
      </c>
      <c r="U131" s="25" t="s">
        <v>83</v>
      </c>
      <c r="V131" s="15"/>
      <c r="W131" s="4" t="s">
        <v>44</v>
      </c>
      <c r="X131" s="12">
        <f>0.9*$J131</f>
      </c>
      <c r="Y131" s="12">
        <f>1.5*J131</f>
      </c>
      <c r="Z131" s="4" t="s">
        <v>45</v>
      </c>
      <c r="AA131" s="13">
        <f>0.9*K131</f>
      </c>
      <c r="AB131" s="13">
        <f>1.3*K131</f>
      </c>
      <c r="AC131" s="4" t="s">
        <v>45</v>
      </c>
      <c r="AD131" s="13">
        <v>0.1</v>
      </c>
      <c r="AE131" s="11">
        <v>1</v>
      </c>
      <c r="AF131" s="11">
        <v>0</v>
      </c>
      <c r="AG131" s="4" t="s">
        <v>46</v>
      </c>
    </row>
    <row x14ac:dyDescent="0.25" r="132" customHeight="1" ht="25.5">
      <c r="A132" s="26">
        <v>22</v>
      </c>
      <c r="B132" s="26">
        <f>IF(ISNUMBER(A132),
IF(AND(A132=INT(A132), MOD(A132, 10) = 0), 0,
IF(AND(A132=INT(A132), LEN(A132)=2), 1,
IF(AND(A132=INT(A132), LEN(A132)=3), 2,
LEN(A132) - FIND(".", A132) + 2)
)
),
"")</f>
      </c>
      <c r="C132" s="27" t="s">
        <v>125</v>
      </c>
      <c r="D132" s="28">
        <f>REPT("   ", B132*2) &amp; C132</f>
      </c>
      <c r="E132" s="27" t="s">
        <v>35</v>
      </c>
      <c r="F132" s="27" t="s">
        <v>126</v>
      </c>
      <c r="G132" s="29">
        <v>1</v>
      </c>
      <c r="H132" s="30"/>
      <c r="I132" s="30"/>
      <c r="J132" s="31"/>
      <c r="K132" s="31">
        <v>74748072.8175665</v>
      </c>
      <c r="L132" s="32" t="s">
        <v>127</v>
      </c>
      <c r="M132" s="27" t="s">
        <v>126</v>
      </c>
      <c r="N132" s="31">
        <v>1</v>
      </c>
      <c r="O132" s="32" t="s">
        <v>127</v>
      </c>
      <c r="P132" s="33">
        <v>-0.9787</v>
      </c>
      <c r="Q132" s="31">
        <v>2024</v>
      </c>
      <c r="R132" s="32" t="s">
        <v>86</v>
      </c>
      <c r="S132" s="27" t="s">
        <v>128</v>
      </c>
      <c r="T132" s="32"/>
      <c r="U132" s="32"/>
      <c r="V132" s="32"/>
      <c r="W132" s="34"/>
      <c r="X132" s="35">
        <f>0.8*$I132</f>
      </c>
      <c r="Y132" s="35">
        <f>2*J132</f>
      </c>
      <c r="Z132" s="34" t="s">
        <v>45</v>
      </c>
      <c r="AA132" s="36">
        <f>0.8*K132</f>
      </c>
      <c r="AB132" s="36">
        <f>2*K132</f>
      </c>
      <c r="AC132" s="34" t="s">
        <v>45</v>
      </c>
      <c r="AD132" s="36">
        <v>0.1</v>
      </c>
      <c r="AE132" s="37">
        <v>0</v>
      </c>
      <c r="AF132" s="37">
        <v>-1</v>
      </c>
      <c r="AG132" s="34" t="s">
        <v>46</v>
      </c>
    </row>
    <row x14ac:dyDescent="0.25" r="133" customHeight="1" ht="15">
      <c r="A133" s="6">
        <v>23</v>
      </c>
      <c r="B133" s="6">
        <f>IF(ISNUMBER(A133),
IF(AND(A133=INT(A133), MOD(A133, 10) = 0), 0,
IF(AND(A133=INT(A133), LEN(A133)=2), 1,
IF(AND(A133=INT(A133), LEN(A133)=3), 2,
LEN(A133) - FIND(".", A133) + 2)
)
),
"")</f>
      </c>
      <c r="C133" s="7" t="s">
        <v>129</v>
      </c>
      <c r="D133" s="8">
        <f>REPT("   ", B133*2) &amp; C133</f>
      </c>
      <c r="E133" s="9"/>
      <c r="F133" s="9"/>
      <c r="G133" s="10"/>
      <c r="H133" s="9"/>
      <c r="I133" s="15"/>
      <c r="J133" s="14"/>
      <c r="K133" s="14"/>
      <c r="L133" s="15"/>
      <c r="M133" s="7"/>
      <c r="N133" s="20"/>
      <c r="O133" s="15"/>
      <c r="P133" s="14"/>
      <c r="Q133" s="14"/>
      <c r="R133" s="15"/>
      <c r="S133" s="7"/>
      <c r="T133" s="15"/>
      <c r="U133" s="15"/>
      <c r="V133" s="15"/>
      <c r="W133" s="4"/>
      <c r="X133" s="12"/>
      <c r="Y133" s="12"/>
      <c r="Z133" s="4"/>
      <c r="AA133" s="11"/>
      <c r="AB133" s="11"/>
      <c r="AC133" s="4"/>
      <c r="AD133" s="13"/>
      <c r="AE133" s="11"/>
      <c r="AF133" s="11"/>
      <c r="AG133" s="4"/>
    </row>
    <row x14ac:dyDescent="0.25" r="134" customHeight="1" ht="15">
      <c r="A134" s="6">
        <v>231</v>
      </c>
      <c r="B134" s="6">
        <f>IF(ISNUMBER(A134),
IF(AND(A134=INT(A134), MOD(A134, 10) = 0), 0,
IF(AND(A134=INT(A134), LEN(A134)=2), 1,
IF(AND(A134=INT(A134), LEN(A134)=3), 2,
LEN(A134) - FIND(".", A134) + 2)
)
),
"")</f>
      </c>
      <c r="C134" s="7" t="s">
        <v>130</v>
      </c>
      <c r="D134" s="8">
        <f>REPT("   ", B134*2) &amp; C134</f>
      </c>
      <c r="E134" s="9"/>
      <c r="F134" s="9"/>
      <c r="G134" s="10"/>
      <c r="H134" s="9"/>
      <c r="I134" s="15"/>
      <c r="J134" s="14"/>
      <c r="K134" s="14"/>
      <c r="L134" s="15"/>
      <c r="M134" s="7"/>
      <c r="N134" s="20"/>
      <c r="O134" s="15"/>
      <c r="P134" s="14"/>
      <c r="Q134" s="14"/>
      <c r="R134" s="15"/>
      <c r="S134" s="7"/>
      <c r="T134" s="15"/>
      <c r="U134" s="15"/>
      <c r="V134" s="15"/>
      <c r="W134" s="4"/>
      <c r="X134" s="12"/>
      <c r="Y134" s="12"/>
      <c r="Z134" s="4"/>
      <c r="AA134" s="11"/>
      <c r="AB134" s="11"/>
      <c r="AC134" s="4"/>
      <c r="AD134" s="13"/>
      <c r="AE134" s="11"/>
      <c r="AF134" s="11"/>
      <c r="AG134" s="4"/>
    </row>
    <row x14ac:dyDescent="0.25" r="135" customHeight="1" ht="25.5">
      <c r="A135" s="38">
        <v>231.1</v>
      </c>
      <c r="B135" s="6">
        <f>IF(ISNUMBER(A135),
IF(AND(A135=INT(A135), MOD(A135, 10) = 0), 0,
IF(AND(A135=INT(A135), LEN(A135)=2), 1,
IF(AND(A135=INT(A135), LEN(A135)=3), 2,
LEN(A135) - FIND(".", A135) + 2)
)
),
"")</f>
      </c>
      <c r="C135" s="7" t="s">
        <v>131</v>
      </c>
      <c r="D135" s="8">
        <f>REPT("   ", B135*2) &amp; C135</f>
      </c>
      <c r="E135" s="7" t="s">
        <v>35</v>
      </c>
      <c r="F135" s="7" t="s">
        <v>132</v>
      </c>
      <c r="G135" s="10">
        <v>12</v>
      </c>
      <c r="H135" s="9"/>
      <c r="I135" s="15"/>
      <c r="J135" s="14">
        <v>232000</v>
      </c>
      <c r="K135" s="14"/>
      <c r="L135" s="15"/>
      <c r="M135" s="7"/>
      <c r="N135" s="20"/>
      <c r="O135" s="15"/>
      <c r="P135" s="14"/>
      <c r="Q135" s="14">
        <v>2023</v>
      </c>
      <c r="R135" s="15" t="s">
        <v>86</v>
      </c>
      <c r="S135" s="7" t="s">
        <v>133</v>
      </c>
      <c r="T135" s="15"/>
      <c r="U135" s="15"/>
      <c r="V135" s="15" t="s">
        <v>134</v>
      </c>
      <c r="W135" s="4" t="s">
        <v>44</v>
      </c>
      <c r="X135" s="12">
        <v>116000</v>
      </c>
      <c r="Y135" s="12">
        <v>348000</v>
      </c>
      <c r="Z135" s="4" t="s">
        <v>45</v>
      </c>
      <c r="AA135" s="11">
        <f>0.9*K135</f>
      </c>
      <c r="AB135" s="11">
        <f>1.3*K135</f>
      </c>
      <c r="AC135" s="4" t="s">
        <v>45</v>
      </c>
      <c r="AD135" s="13">
        <v>0.1</v>
      </c>
      <c r="AE135" s="11">
        <v>1</v>
      </c>
      <c r="AF135" s="11">
        <v>0</v>
      </c>
      <c r="AG135" s="4" t="s">
        <v>46</v>
      </c>
    </row>
    <row x14ac:dyDescent="0.25" r="136" customHeight="1" ht="25.5">
      <c r="A136" s="38">
        <v>231.1</v>
      </c>
      <c r="B136" s="6">
        <f>IF(ISNUMBER(A136),
IF(AND(A136=INT(A136), MOD(A136, 10) = 0), 0,
IF(AND(A136=INT(A136), LEN(A136)=2), 1,
IF(AND(A136=INT(A136), LEN(A136)=3), 2,
LEN(A136) - FIND(".", A136) + 2)
)
),
"")</f>
      </c>
      <c r="C136" s="7" t="s">
        <v>135</v>
      </c>
      <c r="D136" s="8">
        <f>REPT("   ", B136*2) &amp; C136</f>
      </c>
      <c r="E136" s="7" t="s">
        <v>35</v>
      </c>
      <c r="F136" s="7" t="s">
        <v>132</v>
      </c>
      <c r="G136" s="10">
        <v>2</v>
      </c>
      <c r="H136" s="9"/>
      <c r="I136" s="15"/>
      <c r="J136" s="14">
        <v>1971000</v>
      </c>
      <c r="K136" s="14"/>
      <c r="L136" s="15"/>
      <c r="M136" s="7"/>
      <c r="N136" s="20"/>
      <c r="O136" s="15"/>
      <c r="P136" s="14"/>
      <c r="Q136" s="14">
        <v>2023</v>
      </c>
      <c r="R136" s="15" t="s">
        <v>86</v>
      </c>
      <c r="S136" s="7" t="s">
        <v>133</v>
      </c>
      <c r="T136" s="15"/>
      <c r="U136" s="15"/>
      <c r="V136" s="15" t="s">
        <v>136</v>
      </c>
      <c r="W136" s="4" t="s">
        <v>44</v>
      </c>
      <c r="X136" s="12">
        <v>1752000</v>
      </c>
      <c r="Y136" s="12">
        <v>2190000</v>
      </c>
      <c r="Z136" s="4" t="s">
        <v>45</v>
      </c>
      <c r="AA136" s="11">
        <f>0.9*K136</f>
      </c>
      <c r="AB136" s="11">
        <f>1.3*K136</f>
      </c>
      <c r="AC136" s="4" t="s">
        <v>45</v>
      </c>
      <c r="AD136" s="13">
        <v>0.1</v>
      </c>
      <c r="AE136" s="11">
        <v>1</v>
      </c>
      <c r="AF136" s="11">
        <v>0</v>
      </c>
      <c r="AG136" s="4" t="s">
        <v>46</v>
      </c>
    </row>
    <row x14ac:dyDescent="0.25" r="137" customHeight="1" ht="25.5">
      <c r="A137" s="38">
        <v>231.1</v>
      </c>
      <c r="B137" s="6">
        <f>IF(ISNUMBER(A137),
IF(AND(A137=INT(A137), MOD(A137, 10) = 0), 0,
IF(AND(A137=INT(A137), LEN(A137)=2), 1,
IF(AND(A137=INT(A137), LEN(A137)=3), 2,
LEN(A137) - FIND(".", A137) + 2)
)
),
"")</f>
      </c>
      <c r="C137" s="7" t="s">
        <v>137</v>
      </c>
      <c r="D137" s="8">
        <f>REPT("   ", B137*2) &amp; C137</f>
      </c>
      <c r="E137" s="7" t="s">
        <v>35</v>
      </c>
      <c r="F137" s="7" t="s">
        <v>132</v>
      </c>
      <c r="G137" s="10">
        <v>1</v>
      </c>
      <c r="H137" s="9"/>
      <c r="I137" s="15"/>
      <c r="J137" s="14">
        <v>2738000</v>
      </c>
      <c r="K137" s="14"/>
      <c r="L137" s="15"/>
      <c r="M137" s="7"/>
      <c r="N137" s="20"/>
      <c r="O137" s="15"/>
      <c r="P137" s="14"/>
      <c r="Q137" s="14">
        <v>2023</v>
      </c>
      <c r="R137" s="15" t="s">
        <v>86</v>
      </c>
      <c r="S137" s="7" t="s">
        <v>133</v>
      </c>
      <c r="T137" s="15"/>
      <c r="U137" s="15"/>
      <c r="V137" s="15" t="s">
        <v>136</v>
      </c>
      <c r="W137" s="4" t="s">
        <v>44</v>
      </c>
      <c r="X137" s="12">
        <v>2190000</v>
      </c>
      <c r="Y137" s="12">
        <v>3285000</v>
      </c>
      <c r="Z137" s="4" t="s">
        <v>45</v>
      </c>
      <c r="AA137" s="11">
        <f>0.9*K137</f>
      </c>
      <c r="AB137" s="11">
        <f>1.3*K137</f>
      </c>
      <c r="AC137" s="4" t="s">
        <v>45</v>
      </c>
      <c r="AD137" s="13">
        <v>0.1</v>
      </c>
      <c r="AE137" s="11">
        <v>1</v>
      </c>
      <c r="AF137" s="11">
        <v>0</v>
      </c>
      <c r="AG137" s="4" t="s">
        <v>46</v>
      </c>
    </row>
    <row x14ac:dyDescent="0.25" r="138" customHeight="1" ht="25.5">
      <c r="A138" s="38">
        <v>231.1</v>
      </c>
      <c r="B138" s="6">
        <f>IF(ISNUMBER(A138),
IF(AND(A138=INT(A138), MOD(A138, 10) = 0), 0,
IF(AND(A138=INT(A138), LEN(A138)=2), 1,
IF(AND(A138=INT(A138), LEN(A138)=3), 2,
LEN(A138) - FIND(".", A138) + 2)
)
),
"")</f>
      </c>
      <c r="C138" s="7" t="s">
        <v>138</v>
      </c>
      <c r="D138" s="8">
        <f>REPT("   ", B138*2) &amp; C138</f>
      </c>
      <c r="E138" s="7" t="s">
        <v>35</v>
      </c>
      <c r="F138" s="7" t="s">
        <v>132</v>
      </c>
      <c r="G138" s="10">
        <v>2</v>
      </c>
      <c r="H138" s="9"/>
      <c r="I138" s="15"/>
      <c r="J138" s="14"/>
      <c r="K138" s="14"/>
      <c r="L138" s="15"/>
      <c r="M138" s="7"/>
      <c r="N138" s="20"/>
      <c r="O138" s="15"/>
      <c r="P138" s="14"/>
      <c r="Q138" s="14"/>
      <c r="R138" s="15"/>
      <c r="S138" s="7"/>
      <c r="T138" s="15"/>
      <c r="U138" s="15"/>
      <c r="V138" s="7"/>
      <c r="W138" s="4" t="s">
        <v>44</v>
      </c>
      <c r="X138" s="12">
        <f>0.8*$I138</f>
      </c>
      <c r="Y138" s="12">
        <f>2*J138</f>
      </c>
      <c r="Z138" s="4" t="s">
        <v>45</v>
      </c>
      <c r="AA138" s="11">
        <f>0.8*K138</f>
      </c>
      <c r="AB138" s="11">
        <f>2*K138</f>
      </c>
      <c r="AC138" s="4" t="s">
        <v>45</v>
      </c>
      <c r="AD138" s="13">
        <v>0.1</v>
      </c>
      <c r="AE138" s="11">
        <v>1</v>
      </c>
      <c r="AF138" s="11">
        <v>0</v>
      </c>
      <c r="AG138" s="4" t="s">
        <v>46</v>
      </c>
    </row>
    <row x14ac:dyDescent="0.25" r="139" customHeight="1" ht="51.75">
      <c r="A139" s="38">
        <v>231.1</v>
      </c>
      <c r="B139" s="6">
        <f>IF(ISNUMBER(A139),
IF(AND(A139=INT(A139), MOD(A139, 10) = 0), 0,
IF(AND(A139=INT(A139), LEN(A139)=2), 1,
IF(AND(A139=INT(A139), LEN(A139)=3), 2,
LEN(A139) - FIND(".", A139) + 2)
)
),
"")</f>
      </c>
      <c r="C139" s="7" t="s">
        <v>139</v>
      </c>
      <c r="D139" s="8">
        <f>REPT("   ", B139*2) &amp; C139</f>
      </c>
      <c r="E139" s="7" t="s">
        <v>35</v>
      </c>
      <c r="F139" s="7" t="s">
        <v>132</v>
      </c>
      <c r="G139" s="10">
        <v>1</v>
      </c>
      <c r="H139" s="9"/>
      <c r="I139" s="15"/>
      <c r="J139" s="14">
        <v>3000000</v>
      </c>
      <c r="K139" s="14"/>
      <c r="L139" s="15"/>
      <c r="M139" s="7"/>
      <c r="N139" s="20"/>
      <c r="O139" s="15"/>
      <c r="P139" s="14"/>
      <c r="Q139" s="14">
        <v>1999</v>
      </c>
      <c r="R139" s="15" t="s">
        <v>86</v>
      </c>
      <c r="S139" s="7" t="s">
        <v>140</v>
      </c>
      <c r="T139" s="7" t="s">
        <v>141</v>
      </c>
      <c r="U139" s="25" t="s">
        <v>142</v>
      </c>
      <c r="V139" s="15" t="s">
        <v>143</v>
      </c>
      <c r="W139" s="4" t="s">
        <v>44</v>
      </c>
      <c r="X139" s="12">
        <v>1000000</v>
      </c>
      <c r="Y139" s="12">
        <v>7000000</v>
      </c>
      <c r="Z139" s="4" t="s">
        <v>45</v>
      </c>
      <c r="AA139" s="11">
        <f>0.9*K139</f>
      </c>
      <c r="AB139" s="11">
        <f>1.3*K139</f>
      </c>
      <c r="AC139" s="4" t="s">
        <v>45</v>
      </c>
      <c r="AD139" s="13">
        <v>0.1</v>
      </c>
      <c r="AE139" s="11">
        <v>1</v>
      </c>
      <c r="AF139" s="11">
        <v>0</v>
      </c>
      <c r="AG139" s="4" t="s">
        <v>46</v>
      </c>
    </row>
    <row x14ac:dyDescent="0.25" r="140" customHeight="1" ht="25.5">
      <c r="A140" s="38">
        <v>231.1</v>
      </c>
      <c r="B140" s="6">
        <f>IF(ISNUMBER(A140),
IF(AND(A140=INT(A140), MOD(A140, 10) = 0), 0,
IF(AND(A140=INT(A140), LEN(A140)=2), 1,
IF(AND(A140=INT(A140), LEN(A140)=3), 2,
LEN(A140) - FIND(".", A140) + 2)
)
),
"")</f>
      </c>
      <c r="C140" s="7" t="s">
        <v>144</v>
      </c>
      <c r="D140" s="8">
        <f>REPT("   ", B140*2) &amp; C140</f>
      </c>
      <c r="E140" s="7" t="s">
        <v>35</v>
      </c>
      <c r="F140" s="7" t="s">
        <v>132</v>
      </c>
      <c r="G140" s="10">
        <v>1</v>
      </c>
      <c r="H140" s="9"/>
      <c r="I140" s="15"/>
      <c r="J140" s="14"/>
      <c r="K140" s="14"/>
      <c r="L140" s="15"/>
      <c r="M140" s="7"/>
      <c r="N140" s="20"/>
      <c r="O140" s="15"/>
      <c r="P140" s="14"/>
      <c r="Q140" s="14"/>
      <c r="R140" s="15"/>
      <c r="S140" s="7"/>
      <c r="T140" s="15"/>
      <c r="U140" s="15"/>
      <c r="V140" s="15"/>
      <c r="W140" s="4" t="s">
        <v>44</v>
      </c>
      <c r="X140" s="12">
        <f>0.8*$I140</f>
      </c>
      <c r="Y140" s="12">
        <f>2*J140</f>
      </c>
      <c r="Z140" s="4" t="s">
        <v>45</v>
      </c>
      <c r="AA140" s="11">
        <f>0.8*K140</f>
      </c>
      <c r="AB140" s="11">
        <f>2*K140</f>
      </c>
      <c r="AC140" s="4" t="s">
        <v>45</v>
      </c>
      <c r="AD140" s="13">
        <v>0.1</v>
      </c>
      <c r="AE140" s="11">
        <v>1</v>
      </c>
      <c r="AF140" s="11">
        <v>0</v>
      </c>
      <c r="AG140" s="4" t="s">
        <v>46</v>
      </c>
    </row>
    <row x14ac:dyDescent="0.25" r="141" customHeight="1" ht="25.5">
      <c r="A141" s="38">
        <v>231.1</v>
      </c>
      <c r="B141" s="6">
        <f>IF(ISNUMBER(A141),
IF(AND(A141=INT(A141), MOD(A141, 10) = 0), 0,
IF(AND(A141=INT(A141), LEN(A141)=2), 1,
IF(AND(A141=INT(A141), LEN(A141)=3), 2,
LEN(A141) - FIND(".", A141) + 2)
)
),
"")</f>
      </c>
      <c r="C141" s="7" t="s">
        <v>145</v>
      </c>
      <c r="D141" s="8">
        <f>REPT("   ", B141*2) &amp; C141</f>
      </c>
      <c r="E141" s="7" t="s">
        <v>35</v>
      </c>
      <c r="F141" s="7" t="s">
        <v>132</v>
      </c>
      <c r="G141" s="10">
        <v>1</v>
      </c>
      <c r="H141" s="9"/>
      <c r="I141" s="15"/>
      <c r="J141" s="14"/>
      <c r="K141" s="14"/>
      <c r="L141" s="15"/>
      <c r="M141" s="7"/>
      <c r="N141" s="20"/>
      <c r="O141" s="15"/>
      <c r="P141" s="14"/>
      <c r="Q141" s="14"/>
      <c r="R141" s="15"/>
      <c r="S141" s="7"/>
      <c r="T141" s="15"/>
      <c r="U141" s="15"/>
      <c r="V141" s="15"/>
      <c r="W141" s="4" t="s">
        <v>44</v>
      </c>
      <c r="X141" s="12">
        <f>0.8*$I141</f>
      </c>
      <c r="Y141" s="12">
        <f>2*J141</f>
      </c>
      <c r="Z141" s="4" t="s">
        <v>45</v>
      </c>
      <c r="AA141" s="11">
        <f>0.8*K141</f>
      </c>
      <c r="AB141" s="11">
        <f>2*K141</f>
      </c>
      <c r="AC141" s="4" t="s">
        <v>45</v>
      </c>
      <c r="AD141" s="13">
        <v>0.1</v>
      </c>
      <c r="AE141" s="11">
        <v>1</v>
      </c>
      <c r="AF141" s="11">
        <v>0</v>
      </c>
      <c r="AG141" s="4" t="s">
        <v>46</v>
      </c>
    </row>
    <row x14ac:dyDescent="0.25" r="142" customHeight="1" ht="15">
      <c r="A142" s="6">
        <v>232</v>
      </c>
      <c r="B142" s="6">
        <f>IF(ISNUMBER(A142),
IF(AND(A142=INT(A142), MOD(A142, 10) = 0), 0,
IF(AND(A142=INT(A142), LEN(A142)=2), 1,
IF(AND(A142=INT(A142), LEN(A142)=3), 2,
LEN(A142) - FIND(".", A142) + 2)
)
),
"")</f>
      </c>
      <c r="C142" s="7" t="s">
        <v>146</v>
      </c>
      <c r="D142" s="8">
        <f>REPT("   ", B142*2) &amp; C142</f>
      </c>
      <c r="E142" s="9"/>
      <c r="F142" s="9"/>
      <c r="G142" s="10"/>
      <c r="H142" s="9"/>
      <c r="I142" s="15"/>
      <c r="J142" s="14"/>
      <c r="K142" s="14"/>
      <c r="L142" s="15"/>
      <c r="M142" s="7"/>
      <c r="N142" s="20"/>
      <c r="O142" s="15"/>
      <c r="P142" s="14"/>
      <c r="Q142" s="14"/>
      <c r="R142" s="15"/>
      <c r="S142" s="7"/>
      <c r="T142" s="15"/>
      <c r="U142" s="15"/>
      <c r="V142" s="15"/>
      <c r="W142" s="4"/>
      <c r="X142" s="12"/>
      <c r="Y142" s="12"/>
      <c r="Z142" s="4"/>
      <c r="AA142" s="11"/>
      <c r="AB142" s="11"/>
      <c r="AC142" s="4"/>
      <c r="AD142" s="13"/>
      <c r="AE142" s="11"/>
      <c r="AF142" s="11"/>
      <c r="AG142" s="4"/>
    </row>
    <row x14ac:dyDescent="0.25" r="143" customHeight="1" ht="25.5">
      <c r="A143" s="38">
        <v>232.1</v>
      </c>
      <c r="B143" s="6">
        <f>IF(ISNUMBER(A143),
IF(AND(A143=INT(A143), MOD(A143, 10) = 0), 0,
IF(AND(A143=INT(A143), LEN(A143)=2), 1,
IF(AND(A143=INT(A143), LEN(A143)=3), 2,
LEN(A143) - FIND(".", A143) + 2)
)
),
"")</f>
      </c>
      <c r="C143" s="7" t="s">
        <v>147</v>
      </c>
      <c r="D143" s="8">
        <f>REPT("   ", B143*2) &amp; C143</f>
      </c>
      <c r="E143" s="7" t="s">
        <v>35</v>
      </c>
      <c r="F143" s="7" t="s">
        <v>97</v>
      </c>
      <c r="G143" s="10">
        <v>6</v>
      </c>
      <c r="H143" s="9"/>
      <c r="I143" s="15"/>
      <c r="J143" s="14">
        <v>232000</v>
      </c>
      <c r="K143" s="14"/>
      <c r="L143" s="15"/>
      <c r="M143" s="7"/>
      <c r="N143" s="20"/>
      <c r="O143" s="15"/>
      <c r="P143" s="14"/>
      <c r="Q143" s="14">
        <v>2023</v>
      </c>
      <c r="R143" s="15" t="s">
        <v>86</v>
      </c>
      <c r="S143" s="7" t="s">
        <v>133</v>
      </c>
      <c r="T143" s="15"/>
      <c r="U143" s="15"/>
      <c r="V143" s="15" t="s">
        <v>134</v>
      </c>
      <c r="W143" s="4" t="s">
        <v>44</v>
      </c>
      <c r="X143" s="12">
        <v>116000</v>
      </c>
      <c r="Y143" s="12">
        <v>348000</v>
      </c>
      <c r="Z143" s="4" t="s">
        <v>45</v>
      </c>
      <c r="AA143" s="11">
        <f>0.8*K143</f>
      </c>
      <c r="AB143" s="11">
        <f>2*K143</f>
      </c>
      <c r="AC143" s="4" t="s">
        <v>45</v>
      </c>
      <c r="AD143" s="13">
        <v>0.1</v>
      </c>
      <c r="AE143" s="11">
        <v>1</v>
      </c>
      <c r="AF143" s="11">
        <v>0</v>
      </c>
      <c r="AG143" s="4" t="s">
        <v>46</v>
      </c>
    </row>
    <row x14ac:dyDescent="0.25" r="144" customHeight="1" ht="25.5">
      <c r="A144" s="38">
        <v>232.1</v>
      </c>
      <c r="B144" s="6">
        <f>IF(ISNUMBER(A144),
IF(AND(A144=INT(A144), MOD(A144, 10) = 0), 0,
IF(AND(A144=INT(A144), LEN(A144)=2), 1,
IF(AND(A144=INT(A144), LEN(A144)=3), 2,
LEN(A144) - FIND(".", A144) + 2)
)
),
"")</f>
      </c>
      <c r="C144" s="7" t="s">
        <v>138</v>
      </c>
      <c r="D144" s="8">
        <f>REPT("   ", B144*2) &amp; C144</f>
      </c>
      <c r="E144" s="7" t="s">
        <v>35</v>
      </c>
      <c r="F144" s="7" t="s">
        <v>97</v>
      </c>
      <c r="G144" s="10">
        <v>1</v>
      </c>
      <c r="H144" s="9"/>
      <c r="I144" s="15"/>
      <c r="J144" s="14"/>
      <c r="K144" s="14"/>
      <c r="L144" s="15"/>
      <c r="M144" s="7"/>
      <c r="N144" s="20"/>
      <c r="O144" s="15"/>
      <c r="P144" s="14"/>
      <c r="Q144" s="14"/>
      <c r="R144" s="15"/>
      <c r="S144" s="7"/>
      <c r="T144" s="15"/>
      <c r="U144" s="15"/>
      <c r="V144" s="7"/>
      <c r="W144" s="4" t="s">
        <v>44</v>
      </c>
      <c r="X144" s="12">
        <f>0.8*$I144</f>
      </c>
      <c r="Y144" s="12">
        <f>2*J144</f>
      </c>
      <c r="Z144" s="4" t="s">
        <v>45</v>
      </c>
      <c r="AA144" s="11">
        <f>0.8*K144</f>
      </c>
      <c r="AB144" s="11">
        <f>2*K144</f>
      </c>
      <c r="AC144" s="4" t="s">
        <v>45</v>
      </c>
      <c r="AD144" s="13">
        <v>0.1</v>
      </c>
      <c r="AE144" s="11">
        <v>1</v>
      </c>
      <c r="AF144" s="11">
        <v>0</v>
      </c>
      <c r="AG144" s="4" t="s">
        <v>46</v>
      </c>
    </row>
    <row x14ac:dyDescent="0.25" r="145" customHeight="1" ht="25.5">
      <c r="A145" s="38">
        <v>232.1</v>
      </c>
      <c r="B145" s="6">
        <f>IF(ISNUMBER(A145),
IF(AND(A145=INT(A145), MOD(A145, 10) = 0), 0,
IF(AND(A145=INT(A145), LEN(A145)=2), 1,
IF(AND(A145=INT(A145), LEN(A145)=3), 2,
LEN(A145) - FIND(".", A145) + 2)
)
),
"")</f>
      </c>
      <c r="C145" s="7" t="s">
        <v>148</v>
      </c>
      <c r="D145" s="8">
        <f>REPT("   ", B145*2) &amp; C145</f>
      </c>
      <c r="E145" s="7" t="s">
        <v>35</v>
      </c>
      <c r="F145" s="7" t="s">
        <v>97</v>
      </c>
      <c r="G145" s="10">
        <v>1</v>
      </c>
      <c r="H145" s="9"/>
      <c r="I145" s="15"/>
      <c r="J145" s="14"/>
      <c r="K145" s="14"/>
      <c r="L145" s="15"/>
      <c r="M145" s="7"/>
      <c r="N145" s="20"/>
      <c r="O145" s="15"/>
      <c r="P145" s="14"/>
      <c r="Q145" s="14"/>
      <c r="R145" s="15"/>
      <c r="S145" s="7"/>
      <c r="T145" s="15"/>
      <c r="U145" s="15"/>
      <c r="V145" s="15" t="s">
        <v>149</v>
      </c>
      <c r="W145" s="4" t="s">
        <v>44</v>
      </c>
      <c r="X145" s="12">
        <f>0.8*$I145</f>
      </c>
      <c r="Y145" s="12">
        <f>2*J145</f>
      </c>
      <c r="Z145" s="4" t="s">
        <v>45</v>
      </c>
      <c r="AA145" s="11">
        <f>0.8*K145</f>
      </c>
      <c r="AB145" s="11">
        <f>2*K145</f>
      </c>
      <c r="AC145" s="4" t="s">
        <v>45</v>
      </c>
      <c r="AD145" s="13">
        <v>0.1</v>
      </c>
      <c r="AE145" s="11">
        <v>1</v>
      </c>
      <c r="AF145" s="11">
        <v>0</v>
      </c>
      <c r="AG145" s="4" t="s">
        <v>46</v>
      </c>
    </row>
    <row x14ac:dyDescent="0.25" r="146" customHeight="1" ht="25.5">
      <c r="A146" s="38">
        <v>232.1</v>
      </c>
      <c r="B146" s="6">
        <f>IF(ISNUMBER(A146),
IF(AND(A146=INT(A146), MOD(A146, 10) = 0), 0,
IF(AND(A146=INT(A146), LEN(A146)=2), 1,
IF(AND(A146=INT(A146), LEN(A146)=3), 2,
LEN(A146) - FIND(".", A146) + 2)
)
),
"")</f>
      </c>
      <c r="C146" s="7" t="s">
        <v>144</v>
      </c>
      <c r="D146" s="8">
        <f>REPT("   ", B146*2) &amp; C146</f>
      </c>
      <c r="E146" s="7" t="s">
        <v>35</v>
      </c>
      <c r="F146" s="7" t="s">
        <v>97</v>
      </c>
      <c r="G146" s="10">
        <v>1</v>
      </c>
      <c r="H146" s="9"/>
      <c r="I146" s="15"/>
      <c r="J146" s="14"/>
      <c r="K146" s="14"/>
      <c r="L146" s="15"/>
      <c r="M146" s="7"/>
      <c r="N146" s="20"/>
      <c r="O146" s="15"/>
      <c r="P146" s="14"/>
      <c r="Q146" s="14"/>
      <c r="R146" s="15"/>
      <c r="S146" s="7"/>
      <c r="T146" s="15"/>
      <c r="U146" s="15"/>
      <c r="V146" s="15"/>
      <c r="W146" s="4" t="s">
        <v>44</v>
      </c>
      <c r="X146" s="12">
        <f>0.8*$I146</f>
      </c>
      <c r="Y146" s="12">
        <f>2*J146</f>
      </c>
      <c r="Z146" s="4" t="s">
        <v>45</v>
      </c>
      <c r="AA146" s="11">
        <f>0.8*K146</f>
      </c>
      <c r="AB146" s="11">
        <f>2*K146</f>
      </c>
      <c r="AC146" s="4" t="s">
        <v>45</v>
      </c>
      <c r="AD146" s="13">
        <v>0.1</v>
      </c>
      <c r="AE146" s="11">
        <v>1</v>
      </c>
      <c r="AF146" s="11">
        <v>0</v>
      </c>
      <c r="AG146" s="4" t="s">
        <v>46</v>
      </c>
    </row>
    <row x14ac:dyDescent="0.25" r="147" customHeight="1" ht="25.5">
      <c r="A147" s="38">
        <v>232.1</v>
      </c>
      <c r="B147" s="6">
        <f>IF(ISNUMBER(A147),
IF(AND(A147=INT(A147), MOD(A147, 10) = 0), 0,
IF(AND(A147=INT(A147), LEN(A147)=2), 1,
IF(AND(A147=INT(A147), LEN(A147)=3), 2,
LEN(A147) - FIND(".", A147) + 2)
)
),
"")</f>
      </c>
      <c r="C147" s="7" t="s">
        <v>150</v>
      </c>
      <c r="D147" s="8">
        <f>REPT("   ", B147*2) &amp; C147</f>
      </c>
      <c r="E147" s="7" t="s">
        <v>35</v>
      </c>
      <c r="F147" s="7" t="s">
        <v>97</v>
      </c>
      <c r="G147" s="10">
        <v>1</v>
      </c>
      <c r="H147" s="9"/>
      <c r="I147" s="15"/>
      <c r="J147" s="14"/>
      <c r="K147" s="14"/>
      <c r="L147" s="15"/>
      <c r="M147" s="7"/>
      <c r="N147" s="20"/>
      <c r="O147" s="15"/>
      <c r="P147" s="14"/>
      <c r="Q147" s="14"/>
      <c r="R147" s="15"/>
      <c r="S147" s="7"/>
      <c r="T147" s="15"/>
      <c r="U147" s="15"/>
      <c r="V147" s="15"/>
      <c r="W147" s="4" t="s">
        <v>44</v>
      </c>
      <c r="X147" s="12">
        <f>0.9*$J147</f>
      </c>
      <c r="Y147" s="12">
        <f>1.5*J147</f>
      </c>
      <c r="Z147" s="4" t="s">
        <v>45</v>
      </c>
      <c r="AA147" s="11">
        <f>0.9*K147</f>
      </c>
      <c r="AB147" s="11">
        <f>1.3*K147</f>
      </c>
      <c r="AC147" s="4" t="s">
        <v>45</v>
      </c>
      <c r="AD147" s="13">
        <v>0.1</v>
      </c>
      <c r="AE147" s="11">
        <v>1</v>
      </c>
      <c r="AF147" s="11">
        <v>0</v>
      </c>
      <c r="AG147" s="4" t="s">
        <v>46</v>
      </c>
    </row>
    <row x14ac:dyDescent="0.25" r="148" customHeight="1" ht="15">
      <c r="A148" s="6">
        <v>234</v>
      </c>
      <c r="B148" s="6">
        <f>IF(ISNUMBER(A148),
IF(AND(A148=INT(A148), MOD(A148, 10) = 0), 0,
IF(AND(A148=INT(A148), LEN(A148)=2), 1,
IF(AND(A148=INT(A148), LEN(A148)=3), 2,
LEN(A148) - FIND(".", A148) + 2)
)
),
"")</f>
      </c>
      <c r="C148" s="7" t="s">
        <v>151</v>
      </c>
      <c r="D148" s="8">
        <f>REPT("   ", B148*2) &amp; C148</f>
      </c>
      <c r="E148" s="9"/>
      <c r="F148" s="9"/>
      <c r="G148" s="10"/>
      <c r="H148" s="9"/>
      <c r="I148" s="15"/>
      <c r="J148" s="14"/>
      <c r="K148" s="14"/>
      <c r="L148" s="15"/>
      <c r="M148" s="7"/>
      <c r="N148" s="20"/>
      <c r="O148" s="15"/>
      <c r="P148" s="14"/>
      <c r="Q148" s="14"/>
      <c r="R148" s="15"/>
      <c r="S148" s="7"/>
      <c r="T148" s="15"/>
      <c r="U148" s="15"/>
      <c r="V148" s="15"/>
      <c r="W148" s="4"/>
      <c r="X148" s="12"/>
      <c r="Y148" s="12"/>
      <c r="Z148" s="4"/>
      <c r="AA148" s="11"/>
      <c r="AB148" s="11"/>
      <c r="AC148" s="4"/>
      <c r="AD148" s="13"/>
      <c r="AE148" s="11"/>
      <c r="AF148" s="11"/>
      <c r="AG148" s="4"/>
    </row>
    <row x14ac:dyDescent="0.25" r="149" customHeight="1" ht="15">
      <c r="A149" s="38">
        <v>234.1</v>
      </c>
      <c r="B149" s="6">
        <f>IF(ISNUMBER(A149),
IF(AND(A149=INT(A149), MOD(A149, 10) = 0), 0,
IF(AND(A149=INT(A149), LEN(A149)=2), 1,
IF(AND(A149=INT(A149), LEN(A149)=3), 2,
LEN(A149) - FIND(".", A149) + 2)
)
),
"")</f>
      </c>
      <c r="C149" s="7" t="s">
        <v>152</v>
      </c>
      <c r="D149" s="8">
        <f>REPT("   ", B149*2) &amp; C149</f>
      </c>
      <c r="E149" s="7" t="s">
        <v>35</v>
      </c>
      <c r="F149" s="7" t="s">
        <v>36</v>
      </c>
      <c r="G149" s="10">
        <v>1</v>
      </c>
      <c r="H149" s="9"/>
      <c r="I149" s="15"/>
      <c r="J149" s="14"/>
      <c r="K149" s="14"/>
      <c r="L149" s="15"/>
      <c r="M149" s="7"/>
      <c r="N149" s="20"/>
      <c r="O149" s="15"/>
      <c r="P149" s="14"/>
      <c r="Q149" s="14"/>
      <c r="R149" s="15"/>
      <c r="S149" s="7"/>
      <c r="T149" s="15"/>
      <c r="U149" s="15"/>
      <c r="V149" s="15"/>
      <c r="W149" s="4" t="s">
        <v>44</v>
      </c>
      <c r="X149" s="12">
        <f>0.9*$J149</f>
      </c>
      <c r="Y149" s="12">
        <f>1.5*J149</f>
      </c>
      <c r="Z149" s="4" t="s">
        <v>45</v>
      </c>
      <c r="AA149" s="11">
        <f>0.9*K149</f>
      </c>
      <c r="AB149" s="11">
        <f>1.3*K149</f>
      </c>
      <c r="AC149" s="4" t="s">
        <v>45</v>
      </c>
      <c r="AD149" s="13">
        <v>0.1</v>
      </c>
      <c r="AE149" s="11">
        <v>1</v>
      </c>
      <c r="AF149" s="11">
        <v>0</v>
      </c>
      <c r="AG149" s="4" t="s">
        <v>46</v>
      </c>
    </row>
    <row x14ac:dyDescent="0.25" r="150" customHeight="1" ht="38.25">
      <c r="A150" s="38">
        <v>234.2</v>
      </c>
      <c r="B150" s="6">
        <f>IF(ISNUMBER(A150),
IF(AND(A150=INT(A150), MOD(A150, 10) = 0), 0,
IF(AND(A150=INT(A150), LEN(A150)=2), 1,
IF(AND(A150=INT(A150), LEN(A150)=3), 2,
LEN(A150) - FIND(".", A150) + 2)
)
),
"")</f>
      </c>
      <c r="C150" s="7" t="s">
        <v>153</v>
      </c>
      <c r="D150" s="8">
        <f>REPT("   ", B150*2) &amp; C150</f>
      </c>
      <c r="E150" s="7" t="s">
        <v>35</v>
      </c>
      <c r="F150" s="7" t="s">
        <v>36</v>
      </c>
      <c r="G150" s="10">
        <v>1</v>
      </c>
      <c r="H150" s="9"/>
      <c r="I150" s="15"/>
      <c r="J150" s="14"/>
      <c r="K150" s="14">
        <f>111284601/N150</f>
      </c>
      <c r="L150" s="15"/>
      <c r="M150" s="7" t="s">
        <v>154</v>
      </c>
      <c r="N150" s="14">
        <v>3417</v>
      </c>
      <c r="O150" s="15" t="s">
        <v>155</v>
      </c>
      <c r="P150" s="39">
        <v>0.8</v>
      </c>
      <c r="Q150" s="14">
        <v>2018</v>
      </c>
      <c r="R150" s="15" t="s">
        <v>86</v>
      </c>
      <c r="S150" s="7" t="s">
        <v>156</v>
      </c>
      <c r="T150" s="15"/>
      <c r="U150" s="15"/>
      <c r="V150" s="15" t="s">
        <v>157</v>
      </c>
      <c r="W150" s="4" t="s">
        <v>44</v>
      </c>
      <c r="X150" s="12">
        <f>0.9*$J150</f>
      </c>
      <c r="Y150" s="12">
        <f>1.5*J150</f>
      </c>
      <c r="Z150" s="4" t="s">
        <v>45</v>
      </c>
      <c r="AA150" s="13">
        <f>0.9*K150</f>
      </c>
      <c r="AB150" s="13">
        <f>1.3*K150</f>
      </c>
      <c r="AC150" s="4" t="s">
        <v>45</v>
      </c>
      <c r="AD150" s="13">
        <v>0.1</v>
      </c>
      <c r="AE150" s="11">
        <v>1</v>
      </c>
      <c r="AF150" s="11">
        <v>0</v>
      </c>
      <c r="AG150" s="4" t="s">
        <v>46</v>
      </c>
    </row>
    <row x14ac:dyDescent="0.25" r="151" customHeight="1" ht="15">
      <c r="A151" s="38">
        <v>234.3</v>
      </c>
      <c r="B151" s="6">
        <f>IF(ISNUMBER(A151),
IF(AND(A151=INT(A151), MOD(A151, 10) = 0), 0,
IF(AND(A151=INT(A151), LEN(A151)=2), 1,
IF(AND(A151=INT(A151), LEN(A151)=3), 2,
LEN(A151) - FIND(".", A151) + 2)
)
),
"")</f>
      </c>
      <c r="C151" s="7" t="s">
        <v>158</v>
      </c>
      <c r="D151" s="8">
        <f>REPT("   ", B151*2) &amp; C151</f>
      </c>
      <c r="E151" s="9"/>
      <c r="F151" s="9"/>
      <c r="G151" s="10"/>
      <c r="H151" s="9"/>
      <c r="I151" s="15"/>
      <c r="J151" s="14"/>
      <c r="K151" s="14"/>
      <c r="L151" s="15"/>
      <c r="M151" s="7"/>
      <c r="N151" s="20"/>
      <c r="O151" s="15"/>
      <c r="P151" s="14"/>
      <c r="Q151" s="14"/>
      <c r="R151" s="15"/>
      <c r="S151" s="7"/>
      <c r="T151" s="15"/>
      <c r="U151" s="15"/>
      <c r="V151" s="15"/>
      <c r="W151" s="4"/>
      <c r="X151" s="12"/>
      <c r="Y151" s="12"/>
      <c r="Z151" s="4"/>
      <c r="AA151" s="11"/>
      <c r="AB151" s="11"/>
      <c r="AC151" s="4"/>
      <c r="AD151" s="13"/>
      <c r="AE151" s="11"/>
      <c r="AF151" s="11"/>
      <c r="AG151" s="4"/>
    </row>
    <row x14ac:dyDescent="0.25" r="152" customHeight="1" ht="38.25">
      <c r="A152" s="38">
        <v>234.31</v>
      </c>
      <c r="B152" s="6">
        <f>IF(ISNUMBER(A152),
IF(AND(A152=INT(A152), MOD(A152, 10) = 0), 0,
IF(AND(A152=INT(A152), LEN(A152)=2), 1,
IF(AND(A152=INT(A152), LEN(A152)=3), 2,
LEN(A152) - FIND(".", A152) + 2)
)
),
"")</f>
      </c>
      <c r="C152" s="7" t="s">
        <v>159</v>
      </c>
      <c r="D152" s="8">
        <f>REPT("   ", B152*2) &amp; C152</f>
      </c>
      <c r="E152" s="7" t="s">
        <v>35</v>
      </c>
      <c r="F152" s="7" t="s">
        <v>36</v>
      </c>
      <c r="G152" s="10">
        <v>1</v>
      </c>
      <c r="H152" s="9"/>
      <c r="I152" s="15"/>
      <c r="J152" s="14"/>
      <c r="K152" s="14">
        <f>3330589.8/N152</f>
      </c>
      <c r="L152" s="15" t="s">
        <v>160</v>
      </c>
      <c r="M152" s="7" t="s">
        <v>154</v>
      </c>
      <c r="N152" s="14">
        <v>3417</v>
      </c>
      <c r="O152" s="15" t="s">
        <v>155</v>
      </c>
      <c r="P152" s="39">
        <v>0.8</v>
      </c>
      <c r="Q152" s="14">
        <v>2018</v>
      </c>
      <c r="R152" s="15" t="s">
        <v>86</v>
      </c>
      <c r="S152" s="7" t="s">
        <v>156</v>
      </c>
      <c r="T152" s="15"/>
      <c r="U152" s="15"/>
      <c r="V152" s="15"/>
      <c r="W152" s="4" t="s">
        <v>44</v>
      </c>
      <c r="X152" s="12">
        <f>0.8*$I152</f>
      </c>
      <c r="Y152" s="12">
        <f>2*J152</f>
      </c>
      <c r="Z152" s="4" t="s">
        <v>45</v>
      </c>
      <c r="AA152" s="13">
        <f>0.8*K152</f>
      </c>
      <c r="AB152" s="13">
        <f>2*K152</f>
      </c>
      <c r="AC152" s="4" t="s">
        <v>45</v>
      </c>
      <c r="AD152" s="13">
        <v>0.1</v>
      </c>
      <c r="AE152" s="11">
        <v>1</v>
      </c>
      <c r="AF152" s="11">
        <v>0</v>
      </c>
      <c r="AG152" s="4" t="s">
        <v>46</v>
      </c>
    </row>
    <row x14ac:dyDescent="0.25" r="153" customHeight="1" ht="38.25">
      <c r="A153" s="38">
        <v>234.32</v>
      </c>
      <c r="B153" s="6">
        <v>4</v>
      </c>
      <c r="C153" s="7" t="s">
        <v>161</v>
      </c>
      <c r="D153" s="8">
        <f>REPT("   ", B153*2) &amp; C153</f>
      </c>
      <c r="E153" s="7" t="s">
        <v>35</v>
      </c>
      <c r="F153" s="7" t="s">
        <v>36</v>
      </c>
      <c r="G153" s="10">
        <v>1</v>
      </c>
      <c r="H153" s="9"/>
      <c r="I153" s="15"/>
      <c r="J153" s="14"/>
      <c r="K153" s="14">
        <f>33058834.16/N153</f>
      </c>
      <c r="L153" s="15" t="s">
        <v>160</v>
      </c>
      <c r="M153" s="7" t="s">
        <v>154</v>
      </c>
      <c r="N153" s="14">
        <v>3417</v>
      </c>
      <c r="O153" s="15" t="s">
        <v>155</v>
      </c>
      <c r="P153" s="39">
        <v>0.8</v>
      </c>
      <c r="Q153" s="14">
        <v>2018</v>
      </c>
      <c r="R153" s="15" t="s">
        <v>86</v>
      </c>
      <c r="S153" s="7" t="s">
        <v>156</v>
      </c>
      <c r="T153" s="15"/>
      <c r="U153" s="15"/>
      <c r="V153" s="15"/>
      <c r="W153" s="4" t="s">
        <v>44</v>
      </c>
      <c r="X153" s="12">
        <f>0.8*$I153</f>
      </c>
      <c r="Y153" s="12">
        <f>2*J153</f>
      </c>
      <c r="Z153" s="4" t="s">
        <v>45</v>
      </c>
      <c r="AA153" s="13">
        <f>0.8*K153</f>
      </c>
      <c r="AB153" s="13">
        <f>2*K153</f>
      </c>
      <c r="AC153" s="4" t="s">
        <v>45</v>
      </c>
      <c r="AD153" s="13">
        <v>0.1</v>
      </c>
      <c r="AE153" s="11">
        <v>1</v>
      </c>
      <c r="AF153" s="11">
        <v>0</v>
      </c>
      <c r="AG153" s="4" t="s">
        <v>46</v>
      </c>
    </row>
    <row x14ac:dyDescent="0.25" r="154" customHeight="1" ht="38.25">
      <c r="A154" s="38">
        <v>234.33</v>
      </c>
      <c r="B154" s="6">
        <f>IF(ISNUMBER(A154),
IF(AND(A154=INT(A154), MOD(A154, 10) = 0), 0,
IF(AND(A154=INT(A154), LEN(A154)=2), 1,
IF(AND(A154=INT(A154), LEN(A154)=3), 2,
LEN(A154) - FIND(".", A154) + 2)
)
),
"")</f>
      </c>
      <c r="C154" s="7" t="s">
        <v>162</v>
      </c>
      <c r="D154" s="8">
        <f>REPT("   ", B154*2) &amp; C154</f>
      </c>
      <c r="E154" s="7" t="s">
        <v>35</v>
      </c>
      <c r="F154" s="7" t="s">
        <v>36</v>
      </c>
      <c r="G154" s="10">
        <v>1</v>
      </c>
      <c r="H154" s="9"/>
      <c r="I154" s="15"/>
      <c r="J154" s="14"/>
      <c r="K154" s="14">
        <f>15805121.88/N154</f>
      </c>
      <c r="L154" s="15" t="s">
        <v>160</v>
      </c>
      <c r="M154" s="7" t="s">
        <v>154</v>
      </c>
      <c r="N154" s="14">
        <v>3417</v>
      </c>
      <c r="O154" s="15" t="s">
        <v>155</v>
      </c>
      <c r="P154" s="39">
        <v>0.8</v>
      </c>
      <c r="Q154" s="14">
        <v>2018</v>
      </c>
      <c r="R154" s="15" t="s">
        <v>86</v>
      </c>
      <c r="S154" s="7" t="s">
        <v>156</v>
      </c>
      <c r="T154" s="15"/>
      <c r="U154" s="15"/>
      <c r="V154" s="15"/>
      <c r="W154" s="4" t="s">
        <v>44</v>
      </c>
      <c r="X154" s="12">
        <f>0.8*$I154</f>
      </c>
      <c r="Y154" s="12">
        <f>2*J154</f>
      </c>
      <c r="Z154" s="4" t="s">
        <v>45</v>
      </c>
      <c r="AA154" s="13">
        <f>0.8*K154</f>
      </c>
      <c r="AB154" s="13">
        <f>2*K154</f>
      </c>
      <c r="AC154" s="4" t="s">
        <v>45</v>
      </c>
      <c r="AD154" s="13">
        <v>0.1</v>
      </c>
      <c r="AE154" s="11">
        <v>1</v>
      </c>
      <c r="AF154" s="11">
        <v>0</v>
      </c>
      <c r="AG154" s="4" t="s">
        <v>46</v>
      </c>
    </row>
    <row x14ac:dyDescent="0.25" r="155" customHeight="1" ht="26.25">
      <c r="A155" s="38">
        <v>234.4</v>
      </c>
      <c r="B155" s="6">
        <f>IF(ISNUMBER(A155),
IF(AND(A155=INT(A155), MOD(A155, 10) = 0), 0,
IF(AND(A155=INT(A155), LEN(A155)=2), 1,
IF(AND(A155=INT(A155), LEN(A155)=3), 2,
LEN(A155) - FIND(".", A155) + 2)
)
),
"")</f>
      </c>
      <c r="C155" s="7" t="s">
        <v>163</v>
      </c>
      <c r="D155" s="8">
        <f>REPT("   ", B155*2) &amp; C155</f>
      </c>
      <c r="E155" s="7" t="s">
        <v>35</v>
      </c>
      <c r="F155" s="7" t="s">
        <v>36</v>
      </c>
      <c r="G155" s="10">
        <v>1</v>
      </c>
      <c r="H155" s="9"/>
      <c r="I155" s="15"/>
      <c r="J155" s="14"/>
      <c r="K155" s="14">
        <f>8275000/N155</f>
      </c>
      <c r="L155" s="15" t="s">
        <v>74</v>
      </c>
      <c r="M155" s="7" t="s">
        <v>164</v>
      </c>
      <c r="N155" s="39">
        <v>201049.28</v>
      </c>
      <c r="O155" s="15" t="s">
        <v>76</v>
      </c>
      <c r="P155" s="39">
        <v>0.6</v>
      </c>
      <c r="Q155" s="14">
        <v>1978</v>
      </c>
      <c r="R155" s="15" t="s">
        <v>86</v>
      </c>
      <c r="S155" s="7"/>
      <c r="T155" s="15" t="s">
        <v>165</v>
      </c>
      <c r="U155" s="25" t="s">
        <v>166</v>
      </c>
      <c r="V155" s="15" t="s">
        <v>167</v>
      </c>
      <c r="W155" s="4" t="s">
        <v>44</v>
      </c>
      <c r="X155" s="12">
        <f>0.8*$I155</f>
      </c>
      <c r="Y155" s="12">
        <f>2*J155</f>
      </c>
      <c r="Z155" s="4" t="s">
        <v>45</v>
      </c>
      <c r="AA155" s="13">
        <f>0.8*K155</f>
      </c>
      <c r="AB155" s="13">
        <f>2*K155</f>
      </c>
      <c r="AC155" s="4" t="s">
        <v>45</v>
      </c>
      <c r="AD155" s="13">
        <v>0.1</v>
      </c>
      <c r="AE155" s="11">
        <v>1</v>
      </c>
      <c r="AF155" s="11">
        <v>0</v>
      </c>
      <c r="AG155" s="4" t="s">
        <v>46</v>
      </c>
    </row>
    <row x14ac:dyDescent="0.25" r="156" customHeight="1" ht="15">
      <c r="A156" s="6">
        <v>235</v>
      </c>
      <c r="B156" s="6">
        <f>IF(ISNUMBER(A156),
IF(AND(A156=INT(A156), MOD(A156, 10) = 0), 0,
IF(AND(A156=INT(A156), LEN(A156)=2), 1,
IF(AND(A156=INT(A156), LEN(A156)=3), 2,
LEN(A156) - FIND(".", A156) + 2)
)
),
"")</f>
      </c>
      <c r="C156" s="7" t="s">
        <v>168</v>
      </c>
      <c r="D156" s="8">
        <f>REPT("   ", B156*2) &amp; C156</f>
      </c>
      <c r="E156" s="9"/>
      <c r="F156" s="9"/>
      <c r="G156" s="10"/>
      <c r="H156" s="9"/>
      <c r="I156" s="15"/>
      <c r="J156" s="14"/>
      <c r="K156" s="14"/>
      <c r="L156" s="15"/>
      <c r="M156" s="7"/>
      <c r="N156" s="20"/>
      <c r="O156" s="15"/>
      <c r="P156" s="14"/>
      <c r="Q156" s="14"/>
      <c r="R156" s="15"/>
      <c r="S156" s="7"/>
      <c r="T156" s="15"/>
      <c r="U156" s="25"/>
      <c r="V156" s="15"/>
      <c r="W156" s="4"/>
      <c r="X156" s="12"/>
      <c r="Y156" s="12"/>
      <c r="Z156" s="4"/>
      <c r="AA156" s="11"/>
      <c r="AB156" s="11"/>
      <c r="AC156" s="4"/>
      <c r="AD156" s="13"/>
      <c r="AE156" s="11"/>
      <c r="AF156" s="11"/>
      <c r="AG156" s="4"/>
    </row>
    <row x14ac:dyDescent="0.25" r="157" customHeight="1" ht="15">
      <c r="A157" s="38">
        <v>235.1</v>
      </c>
      <c r="B157" s="6">
        <f>IF(ISNUMBER(A157),
IF(AND(A157=INT(A157), MOD(A157, 10) = 0), 0,
IF(AND(A157=INT(A157), LEN(A157)=2), 1,
IF(AND(A157=INT(A157), LEN(A157)=3), 2,
LEN(A157) - FIND(".", A157) + 2)
)
),
"")</f>
      </c>
      <c r="C157" s="7" t="s">
        <v>169</v>
      </c>
      <c r="D157" s="8">
        <f>REPT("   ", B157*2) &amp; C157</f>
      </c>
      <c r="E157" s="7" t="s">
        <v>35</v>
      </c>
      <c r="F157" s="7" t="s">
        <v>36</v>
      </c>
      <c r="G157" s="10">
        <v>1</v>
      </c>
      <c r="H157" s="9"/>
      <c r="I157" s="15"/>
      <c r="J157" s="14"/>
      <c r="K157" s="14"/>
      <c r="L157" s="15"/>
      <c r="M157" s="7"/>
      <c r="N157" s="20"/>
      <c r="O157" s="15"/>
      <c r="P157" s="14"/>
      <c r="Q157" s="14"/>
      <c r="R157" s="15"/>
      <c r="S157" s="7"/>
      <c r="T157" s="15"/>
      <c r="U157" s="25"/>
      <c r="V157" s="15"/>
      <c r="W157" s="4" t="s">
        <v>44</v>
      </c>
      <c r="X157" s="12">
        <f>0.8*$I157</f>
      </c>
      <c r="Y157" s="12">
        <f>2*J157</f>
      </c>
      <c r="Z157" s="4" t="s">
        <v>45</v>
      </c>
      <c r="AA157" s="11">
        <f>0.8*K157</f>
      </c>
      <c r="AB157" s="11">
        <f>2*K157</f>
      </c>
      <c r="AC157" s="4" t="s">
        <v>45</v>
      </c>
      <c r="AD157" s="13">
        <v>0.1</v>
      </c>
      <c r="AE157" s="11">
        <v>1</v>
      </c>
      <c r="AF157" s="11">
        <v>0</v>
      </c>
      <c r="AG157" s="4" t="s">
        <v>46</v>
      </c>
    </row>
    <row x14ac:dyDescent="0.25" r="158" customHeight="1" ht="15">
      <c r="A158" s="38">
        <v>235.2</v>
      </c>
      <c r="B158" s="6">
        <f>IF(ISNUMBER(A158),
IF(AND(A158=INT(A158), MOD(A158, 10) = 0), 0,
IF(AND(A158=INT(A158), LEN(A158)=2), 1,
IF(AND(A158=INT(A158), LEN(A158)=3), 2,
LEN(A158) - FIND(".", A158) + 2)
)
),
"")</f>
      </c>
      <c r="C158" s="7" t="s">
        <v>170</v>
      </c>
      <c r="D158" s="8">
        <f>REPT("   ", B158*2) &amp; C158</f>
      </c>
      <c r="E158" s="7" t="s">
        <v>35</v>
      </c>
      <c r="F158" s="7" t="s">
        <v>36</v>
      </c>
      <c r="G158" s="10">
        <v>1</v>
      </c>
      <c r="H158" s="9"/>
      <c r="I158" s="15"/>
      <c r="J158" s="14"/>
      <c r="K158" s="14"/>
      <c r="L158" s="15"/>
      <c r="M158" s="7"/>
      <c r="N158" s="20"/>
      <c r="O158" s="15"/>
      <c r="P158" s="14"/>
      <c r="Q158" s="14"/>
      <c r="R158" s="15"/>
      <c r="S158" s="7"/>
      <c r="T158" s="15"/>
      <c r="U158" s="25"/>
      <c r="V158" s="15"/>
      <c r="W158" s="4" t="s">
        <v>44</v>
      </c>
      <c r="X158" s="12">
        <f>0.8*$I158</f>
      </c>
      <c r="Y158" s="12">
        <f>2*J158</f>
      </c>
      <c r="Z158" s="4" t="s">
        <v>45</v>
      </c>
      <c r="AA158" s="11">
        <f>0.8*K158</f>
      </c>
      <c r="AB158" s="11">
        <f>2*K158</f>
      </c>
      <c r="AC158" s="4" t="s">
        <v>45</v>
      </c>
      <c r="AD158" s="13">
        <v>0.1</v>
      </c>
      <c r="AE158" s="11">
        <v>1</v>
      </c>
      <c r="AF158" s="11">
        <v>0</v>
      </c>
      <c r="AG158" s="4" t="s">
        <v>46</v>
      </c>
    </row>
    <row x14ac:dyDescent="0.25" r="159" customHeight="1" ht="15">
      <c r="A159" s="38">
        <v>235.3</v>
      </c>
      <c r="B159" s="6">
        <f>IF(ISNUMBER(A159),
IF(AND(A159=INT(A159), MOD(A159, 10) = 0), 0,
IF(AND(A159=INT(A159), LEN(A159)=2), 1,
IF(AND(A159=INT(A159), LEN(A159)=3), 2,
LEN(A159) - FIND(".", A159) + 2)
)
),
"")</f>
      </c>
      <c r="C159" s="7" t="s">
        <v>171</v>
      </c>
      <c r="D159" s="8">
        <f>REPT("   ", B159*2) &amp; C159</f>
      </c>
      <c r="E159" s="7" t="s">
        <v>35</v>
      </c>
      <c r="F159" s="7" t="s">
        <v>36</v>
      </c>
      <c r="G159" s="10">
        <v>1</v>
      </c>
      <c r="H159" s="9"/>
      <c r="I159" s="15"/>
      <c r="J159" s="14"/>
      <c r="K159" s="14"/>
      <c r="L159" s="15"/>
      <c r="M159" s="7"/>
      <c r="N159" s="20"/>
      <c r="O159" s="15"/>
      <c r="P159" s="14"/>
      <c r="Q159" s="14"/>
      <c r="R159" s="15"/>
      <c r="S159" s="7"/>
      <c r="T159" s="15"/>
      <c r="U159" s="25"/>
      <c r="V159" s="15"/>
      <c r="W159" s="4" t="s">
        <v>44</v>
      </c>
      <c r="X159" s="12">
        <f>0.8*$I159</f>
      </c>
      <c r="Y159" s="12">
        <f>2*J159</f>
      </c>
      <c r="Z159" s="4" t="s">
        <v>45</v>
      </c>
      <c r="AA159" s="11">
        <f>0.8*K159</f>
      </c>
      <c r="AB159" s="11">
        <f>2*K159</f>
      </c>
      <c r="AC159" s="4" t="s">
        <v>45</v>
      </c>
      <c r="AD159" s="13">
        <v>0.1</v>
      </c>
      <c r="AE159" s="11">
        <v>1</v>
      </c>
      <c r="AF159" s="11">
        <v>0</v>
      </c>
      <c r="AG159" s="4" t="s">
        <v>46</v>
      </c>
    </row>
    <row x14ac:dyDescent="0.25" r="160" customHeight="1" ht="15">
      <c r="A160" s="6">
        <v>236</v>
      </c>
      <c r="B160" s="6">
        <f>IF(ISNUMBER(A160),
IF(AND(A160=INT(A160), MOD(A160, 10) = 0), 0,
IF(AND(A160=INT(A160), LEN(A160)=2), 1,
IF(AND(A160=INT(A160), LEN(A160)=3), 2,
LEN(A160) - FIND(".", A160) + 2)
)
),
"")</f>
      </c>
      <c r="C160" s="7" t="s">
        <v>172</v>
      </c>
      <c r="D160" s="8">
        <f>REPT("   ", B160*2) &amp; C160</f>
      </c>
      <c r="E160" s="9"/>
      <c r="F160" s="9"/>
      <c r="G160" s="10"/>
      <c r="H160" s="9"/>
      <c r="I160" s="15"/>
      <c r="J160" s="14"/>
      <c r="K160" s="14"/>
      <c r="L160" s="15"/>
      <c r="M160" s="7"/>
      <c r="N160" s="20"/>
      <c r="O160" s="15"/>
      <c r="P160" s="14"/>
      <c r="Q160" s="14"/>
      <c r="R160" s="15"/>
      <c r="S160" s="7"/>
      <c r="T160" s="15"/>
      <c r="U160" s="25"/>
      <c r="V160" s="15"/>
      <c r="W160" s="4"/>
      <c r="X160" s="12"/>
      <c r="Y160" s="12"/>
      <c r="Z160" s="4"/>
      <c r="AA160" s="11"/>
      <c r="AB160" s="11"/>
      <c r="AC160" s="4"/>
      <c r="AD160" s="13"/>
      <c r="AE160" s="11"/>
      <c r="AF160" s="11"/>
      <c r="AG160" s="4"/>
    </row>
    <row x14ac:dyDescent="0.25" r="161" customHeight="1" ht="26.25">
      <c r="A161" s="38">
        <v>236.1</v>
      </c>
      <c r="B161" s="6">
        <f>IF(ISNUMBER(A161),
IF(AND(A161=INT(A161), MOD(A161, 10) = 0), 0,
IF(AND(A161=INT(A161), LEN(A161)=2), 1,
IF(AND(A161=INT(A161), LEN(A161)=3), 2,
LEN(A161) - FIND(".", A161) + 2)
)
),
"")</f>
      </c>
      <c r="C161" s="7" t="s">
        <v>173</v>
      </c>
      <c r="D161" s="8">
        <f>REPT("   ", B161*2) &amp; C161</f>
      </c>
      <c r="E161" s="7" t="s">
        <v>35</v>
      </c>
      <c r="F161" s="7" t="s">
        <v>132</v>
      </c>
      <c r="G161" s="10">
        <v>1</v>
      </c>
      <c r="H161" s="9"/>
      <c r="I161" s="15"/>
      <c r="J161" s="14"/>
      <c r="K161" s="14"/>
      <c r="L161" s="15"/>
      <c r="M161" s="7"/>
      <c r="N161" s="20"/>
      <c r="O161" s="15"/>
      <c r="P161" s="14"/>
      <c r="Q161" s="14"/>
      <c r="R161" s="15"/>
      <c r="S161" s="7"/>
      <c r="T161" s="15"/>
      <c r="U161" s="25"/>
      <c r="V161" s="15"/>
      <c r="W161" s="4" t="s">
        <v>44</v>
      </c>
      <c r="X161" s="12">
        <f>0.8*$I161</f>
      </c>
      <c r="Y161" s="12">
        <f>2*J161</f>
      </c>
      <c r="Z161" s="4" t="s">
        <v>45</v>
      </c>
      <c r="AA161" s="11">
        <f>0.8*K161</f>
      </c>
      <c r="AB161" s="11">
        <f>2*K161</f>
      </c>
      <c r="AC161" s="4" t="s">
        <v>45</v>
      </c>
      <c r="AD161" s="13">
        <v>0.1</v>
      </c>
      <c r="AE161" s="11">
        <v>1</v>
      </c>
      <c r="AF161" s="11">
        <v>0</v>
      </c>
      <c r="AG161" s="4" t="s">
        <v>46</v>
      </c>
    </row>
    <row x14ac:dyDescent="0.25" r="162" customHeight="1" ht="26.25">
      <c r="A162" s="38">
        <v>236.1</v>
      </c>
      <c r="B162" s="6">
        <f>IF(ISNUMBER(A162),
IF(AND(A162=INT(A162), MOD(A162, 10) = 0), 0,
IF(AND(A162=INT(A162), LEN(A162)=2), 1,
IF(AND(A162=INT(A162), LEN(A162)=3), 2,
LEN(A162) - FIND(".", A162) + 2)
)
),
"")</f>
      </c>
      <c r="C162" s="7" t="s">
        <v>174</v>
      </c>
      <c r="D162" s="8">
        <f>REPT("   ", B162*2) &amp; C162</f>
      </c>
      <c r="E162" s="7" t="s">
        <v>35</v>
      </c>
      <c r="F162" s="7" t="s">
        <v>132</v>
      </c>
      <c r="G162" s="10">
        <v>0.1</v>
      </c>
      <c r="H162" s="9"/>
      <c r="I162" s="15"/>
      <c r="J162" s="14"/>
      <c r="K162" s="14"/>
      <c r="L162" s="15"/>
      <c r="M162" s="7"/>
      <c r="N162" s="20"/>
      <c r="O162" s="15"/>
      <c r="P162" s="14"/>
      <c r="Q162" s="14"/>
      <c r="R162" s="15"/>
      <c r="S162" s="7"/>
      <c r="T162" s="15"/>
      <c r="U162" s="25"/>
      <c r="V162" s="15"/>
      <c r="W162" s="4" t="s">
        <v>44</v>
      </c>
      <c r="X162" s="12">
        <f>0.9*$J162</f>
      </c>
      <c r="Y162" s="12">
        <f>1.5*J162</f>
      </c>
      <c r="Z162" s="4" t="s">
        <v>45</v>
      </c>
      <c r="AA162" s="11">
        <f>0.9*K162</f>
      </c>
      <c r="AB162" s="11">
        <f>1.3*K162</f>
      </c>
      <c r="AC162" s="4" t="s">
        <v>45</v>
      </c>
      <c r="AD162" s="13">
        <v>0.1</v>
      </c>
      <c r="AE162" s="11">
        <v>1</v>
      </c>
      <c r="AF162" s="11">
        <v>0</v>
      </c>
      <c r="AG162" s="4" t="s">
        <v>46</v>
      </c>
    </row>
    <row x14ac:dyDescent="0.25" r="163" customHeight="1" ht="26.25">
      <c r="A163" s="38">
        <v>236.1</v>
      </c>
      <c r="B163" s="6">
        <f>IF(ISNUMBER(A163),
IF(AND(A163=INT(A163), MOD(A163, 10) = 0), 0,
IF(AND(A163=INT(A163), LEN(A163)=2), 1,
IF(AND(A163=INT(A163), LEN(A163)=3), 2,
LEN(A163) - FIND(".", A163) + 2)
)
),
"")</f>
      </c>
      <c r="C163" s="7" t="s">
        <v>175</v>
      </c>
      <c r="D163" s="8">
        <f>REPT("   ", B163*2) &amp; C163</f>
      </c>
      <c r="E163" s="7" t="s">
        <v>35</v>
      </c>
      <c r="F163" s="7" t="s">
        <v>132</v>
      </c>
      <c r="G163" s="10">
        <v>0.1</v>
      </c>
      <c r="H163" s="9"/>
      <c r="I163" s="15"/>
      <c r="J163" s="14"/>
      <c r="K163" s="14"/>
      <c r="L163" s="15"/>
      <c r="M163" s="7"/>
      <c r="N163" s="20"/>
      <c r="O163" s="15"/>
      <c r="P163" s="14"/>
      <c r="Q163" s="14"/>
      <c r="R163" s="15"/>
      <c r="S163" s="7"/>
      <c r="T163" s="15"/>
      <c r="U163" s="25"/>
      <c r="V163" s="15"/>
      <c r="W163" s="4" t="s">
        <v>44</v>
      </c>
      <c r="X163" s="12">
        <f>0.9*$J163</f>
      </c>
      <c r="Y163" s="12">
        <f>1.5*J163</f>
      </c>
      <c r="Z163" s="4" t="s">
        <v>45</v>
      </c>
      <c r="AA163" s="11">
        <f>0.9*K163</f>
      </c>
      <c r="AB163" s="11">
        <f>1.3*K163</f>
      </c>
      <c r="AC163" s="4" t="s">
        <v>45</v>
      </c>
      <c r="AD163" s="13">
        <v>0.1</v>
      </c>
      <c r="AE163" s="11">
        <v>1</v>
      </c>
      <c r="AF163" s="11">
        <v>0</v>
      </c>
      <c r="AG163" s="4" t="s">
        <v>46</v>
      </c>
    </row>
    <row x14ac:dyDescent="0.25" r="164" customHeight="1" ht="15">
      <c r="A164" s="6">
        <v>239</v>
      </c>
      <c r="B164" s="6">
        <f>IF(ISNUMBER(A164),
IF(AND(A164=INT(A164), MOD(A164, 10) = 0), 0,
IF(AND(A164=INT(A164), LEN(A164)=2), 1,
IF(AND(A164=INT(A164), LEN(A164)=3), 2,
LEN(A164) - FIND(".", A164) + 2)
)
),
"")</f>
      </c>
      <c r="C164" s="7" t="s">
        <v>176</v>
      </c>
      <c r="D164" s="8">
        <f>REPT("   ", B164*2) &amp; C164</f>
      </c>
      <c r="E164" s="9"/>
      <c r="F164" s="9"/>
      <c r="G164" s="10"/>
      <c r="H164" s="9"/>
      <c r="I164" s="15"/>
      <c r="J164" s="14"/>
      <c r="K164" s="14"/>
      <c r="L164" s="15"/>
      <c r="M164" s="7"/>
      <c r="N164" s="20"/>
      <c r="O164" s="15"/>
      <c r="P164" s="14"/>
      <c r="Q164" s="14"/>
      <c r="R164" s="15"/>
      <c r="S164" s="7"/>
      <c r="T164" s="15"/>
      <c r="U164" s="15"/>
      <c r="V164" s="15"/>
      <c r="W164" s="4"/>
      <c r="X164" s="12"/>
      <c r="Y164" s="12"/>
      <c r="Z164" s="4"/>
      <c r="AA164" s="11"/>
      <c r="AB164" s="11"/>
      <c r="AC164" s="4"/>
      <c r="AD164" s="13"/>
      <c r="AE164" s="11"/>
      <c r="AF164" s="11"/>
      <c r="AG164" s="4"/>
    </row>
    <row x14ac:dyDescent="0.25" r="165" customHeight="1" ht="15">
      <c r="A165" s="38">
        <v>239.1</v>
      </c>
      <c r="B165" s="6">
        <f>IF(ISNUMBER(A165),
IF(AND(A165=INT(A165), MOD(A165, 10) = 0), 0,
IF(AND(A165=INT(A165), LEN(A165)=2), 1,
IF(AND(A165=INT(A165), LEN(A165)=3), 2,
LEN(A165) - FIND(".", A165) + 2)
)
),
"")</f>
      </c>
      <c r="C165" s="7" t="s">
        <v>177</v>
      </c>
      <c r="D165" s="8">
        <f>REPT("   ", B165*2) &amp; C165</f>
      </c>
      <c r="E165" s="7" t="s">
        <v>35</v>
      </c>
      <c r="F165" s="7" t="s">
        <v>36</v>
      </c>
      <c r="G165" s="10">
        <v>1</v>
      </c>
      <c r="H165" s="9"/>
      <c r="I165" s="15"/>
      <c r="J165" s="14"/>
      <c r="K165" s="14"/>
      <c r="L165" s="15"/>
      <c r="M165" s="7"/>
      <c r="N165" s="20"/>
      <c r="O165" s="15"/>
      <c r="P165" s="14"/>
      <c r="Q165" s="14"/>
      <c r="R165" s="15"/>
      <c r="S165" s="7"/>
      <c r="T165" s="15"/>
      <c r="U165" s="15"/>
      <c r="V165" s="15"/>
      <c r="W165" s="4" t="s">
        <v>44</v>
      </c>
      <c r="X165" s="12">
        <f>0.9*$J165</f>
      </c>
      <c r="Y165" s="12">
        <f>1.5*J165</f>
      </c>
      <c r="Z165" s="4" t="s">
        <v>45</v>
      </c>
      <c r="AA165" s="11">
        <f>0.9*K165</f>
      </c>
      <c r="AB165" s="11">
        <f>1.3*K165</f>
      </c>
      <c r="AC165" s="4" t="s">
        <v>45</v>
      </c>
      <c r="AD165" s="13">
        <v>0.1</v>
      </c>
      <c r="AE165" s="11">
        <v>1</v>
      </c>
      <c r="AF165" s="11">
        <v>0</v>
      </c>
      <c r="AG165" s="4" t="s">
        <v>46</v>
      </c>
    </row>
    <row x14ac:dyDescent="0.25" r="166" customHeight="1" ht="15">
      <c r="A166" s="38">
        <v>239.2</v>
      </c>
      <c r="B166" s="6">
        <f>IF(ISNUMBER(A166),
IF(AND(A166=INT(A166), MOD(A166, 10) = 0), 0,
IF(AND(A166=INT(A166), LEN(A166)=2), 1,
IF(AND(A166=INT(A166), LEN(A166)=3), 2,
LEN(A166) - FIND(".", A166) + 2)
)
),
"")</f>
      </c>
      <c r="C166" s="7" t="s">
        <v>178</v>
      </c>
      <c r="D166" s="8">
        <f>REPT("   ", B166*2) &amp; C166</f>
      </c>
      <c r="E166" s="7" t="s">
        <v>35</v>
      </c>
      <c r="F166" s="7" t="s">
        <v>36</v>
      </c>
      <c r="G166" s="10">
        <v>1</v>
      </c>
      <c r="H166" s="9"/>
      <c r="I166" s="15"/>
      <c r="J166" s="14"/>
      <c r="K166" s="14"/>
      <c r="L166" s="15"/>
      <c r="M166" s="7"/>
      <c r="N166" s="20"/>
      <c r="O166" s="15"/>
      <c r="P166" s="14"/>
      <c r="Q166" s="14"/>
      <c r="R166" s="15"/>
      <c r="S166" s="7"/>
      <c r="T166" s="15"/>
      <c r="U166" s="15"/>
      <c r="V166" s="15"/>
      <c r="W166" s="4" t="s">
        <v>44</v>
      </c>
      <c r="X166" s="12">
        <f>0.9*$J166</f>
      </c>
      <c r="Y166" s="12">
        <f>1.5*J166</f>
      </c>
      <c r="Z166" s="4" t="s">
        <v>45</v>
      </c>
      <c r="AA166" s="11">
        <f>0.9*K166</f>
      </c>
      <c r="AB166" s="11">
        <f>1.3*K166</f>
      </c>
      <c r="AC166" s="4" t="s">
        <v>45</v>
      </c>
      <c r="AD166" s="13">
        <v>0.1</v>
      </c>
      <c r="AE166" s="11">
        <v>1</v>
      </c>
      <c r="AF166" s="11">
        <v>0</v>
      </c>
      <c r="AG166" s="4" t="s">
        <v>46</v>
      </c>
    </row>
    <row x14ac:dyDescent="0.25" r="167" customHeight="1" ht="15">
      <c r="A167" s="38">
        <v>239.3</v>
      </c>
      <c r="B167" s="6">
        <f>IF(ISNUMBER(A167),
IF(AND(A167=INT(A167), MOD(A167, 10) = 0), 0,
IF(AND(A167=INT(A167), LEN(A167)=2), 1,
IF(AND(A167=INT(A167), LEN(A167)=3), 2,
LEN(A167) - FIND(".", A167) + 2)
)
),
"")</f>
      </c>
      <c r="C167" s="7" t="s">
        <v>179</v>
      </c>
      <c r="D167" s="8">
        <f>REPT("   ", B167*2) &amp; C167</f>
      </c>
      <c r="E167" s="7" t="s">
        <v>35</v>
      </c>
      <c r="F167" s="7" t="s">
        <v>36</v>
      </c>
      <c r="G167" s="10">
        <v>1</v>
      </c>
      <c r="H167" s="9"/>
      <c r="I167" s="15"/>
      <c r="J167" s="14"/>
      <c r="K167" s="14"/>
      <c r="L167" s="15"/>
      <c r="M167" s="7"/>
      <c r="N167" s="20"/>
      <c r="O167" s="15"/>
      <c r="P167" s="14"/>
      <c r="Q167" s="14"/>
      <c r="R167" s="15"/>
      <c r="S167" s="7"/>
      <c r="T167" s="15"/>
      <c r="U167" s="15"/>
      <c r="V167" s="15"/>
      <c r="W167" s="4" t="s">
        <v>44</v>
      </c>
      <c r="X167" s="12">
        <f>0.9*$J167</f>
      </c>
      <c r="Y167" s="12">
        <f>1.5*J167</f>
      </c>
      <c r="Z167" s="4" t="s">
        <v>45</v>
      </c>
      <c r="AA167" s="11">
        <f>0.9*K167</f>
      </c>
      <c r="AB167" s="11">
        <f>1.3*K167</f>
      </c>
      <c r="AC167" s="4" t="s">
        <v>45</v>
      </c>
      <c r="AD167" s="13">
        <v>0.1</v>
      </c>
      <c r="AE167" s="11">
        <v>1</v>
      </c>
      <c r="AF167" s="11">
        <v>0</v>
      </c>
      <c r="AG167" s="4" t="s">
        <v>46</v>
      </c>
    </row>
    <row x14ac:dyDescent="0.25" r="168" customHeight="1" ht="15">
      <c r="A168" s="38">
        <v>239.4</v>
      </c>
      <c r="B168" s="6">
        <f>IF(ISNUMBER(A168),
IF(AND(A168=INT(A168), MOD(A168, 10) = 0), 0,
IF(AND(A168=INT(A168), LEN(A168)=2), 1,
IF(AND(A168=INT(A168), LEN(A168)=3), 2,
LEN(A168) - FIND(".", A168) + 2)
)
),
"")</f>
      </c>
      <c r="C168" s="7" t="s">
        <v>180</v>
      </c>
      <c r="D168" s="8">
        <f>REPT("   ", B168*2) &amp; C168</f>
      </c>
      <c r="E168" s="7" t="s">
        <v>35</v>
      </c>
      <c r="F168" s="7" t="s">
        <v>36</v>
      </c>
      <c r="G168" s="10">
        <v>1</v>
      </c>
      <c r="H168" s="9"/>
      <c r="I168" s="15"/>
      <c r="J168" s="14"/>
      <c r="K168" s="14"/>
      <c r="L168" s="15"/>
      <c r="M168" s="7"/>
      <c r="N168" s="20"/>
      <c r="O168" s="15"/>
      <c r="P168" s="14"/>
      <c r="Q168" s="14"/>
      <c r="R168" s="15"/>
      <c r="S168" s="7"/>
      <c r="T168" s="15"/>
      <c r="U168" s="15"/>
      <c r="V168" s="15"/>
      <c r="W168" s="4" t="s">
        <v>44</v>
      </c>
      <c r="X168" s="12">
        <f>0.9*$J168</f>
      </c>
      <c r="Y168" s="12">
        <f>1.5*J168</f>
      </c>
      <c r="Z168" s="4" t="s">
        <v>45</v>
      </c>
      <c r="AA168" s="11">
        <f>0.9*K168</f>
      </c>
      <c r="AB168" s="11">
        <f>1.3*K168</f>
      </c>
      <c r="AC168" s="4" t="s">
        <v>45</v>
      </c>
      <c r="AD168" s="13">
        <v>0.1</v>
      </c>
      <c r="AE168" s="11">
        <v>1</v>
      </c>
      <c r="AF168" s="11">
        <v>0</v>
      </c>
      <c r="AG168" s="4" t="s">
        <v>46</v>
      </c>
    </row>
    <row x14ac:dyDescent="0.25" r="169" customHeight="1" ht="15">
      <c r="A169" s="38">
        <v>239.5</v>
      </c>
      <c r="B169" s="6">
        <f>IF(ISNUMBER(A169),
IF(AND(A169=INT(A169), MOD(A169, 10) = 0), 0,
IF(AND(A169=INT(A169), LEN(A169)=2), 1,
IF(AND(A169=INT(A169), LEN(A169)=3), 2,
LEN(A169) - FIND(".", A169) + 2)
)
),
"")</f>
      </c>
      <c r="C169" s="7" t="s">
        <v>181</v>
      </c>
      <c r="D169" s="8">
        <f>REPT("   ", B169*2) &amp; C169</f>
      </c>
      <c r="E169" s="7" t="s">
        <v>35</v>
      </c>
      <c r="F169" s="7" t="s">
        <v>36</v>
      </c>
      <c r="G169" s="10">
        <v>1</v>
      </c>
      <c r="H169" s="9"/>
      <c r="I169" s="15"/>
      <c r="J169" s="14"/>
      <c r="K169" s="14"/>
      <c r="L169" s="15"/>
      <c r="M169" s="7"/>
      <c r="N169" s="20"/>
      <c r="O169" s="15"/>
      <c r="P169" s="14"/>
      <c r="Q169" s="14"/>
      <c r="R169" s="15"/>
      <c r="S169" s="7"/>
      <c r="T169" s="15"/>
      <c r="U169" s="15"/>
      <c r="V169" s="15"/>
      <c r="W169" s="4" t="s">
        <v>44</v>
      </c>
      <c r="X169" s="12">
        <f>0.9*$J169</f>
      </c>
      <c r="Y169" s="12">
        <f>1.5*J169</f>
      </c>
      <c r="Z169" s="4" t="s">
        <v>45</v>
      </c>
      <c r="AA169" s="11">
        <f>0.9*K169</f>
      </c>
      <c r="AB169" s="11">
        <f>1.3*K169</f>
      </c>
      <c r="AC169" s="4" t="s">
        <v>45</v>
      </c>
      <c r="AD169" s="13">
        <v>0.1</v>
      </c>
      <c r="AE169" s="11">
        <v>1</v>
      </c>
      <c r="AF169" s="11">
        <v>0</v>
      </c>
      <c r="AG169" s="4" t="s">
        <v>46</v>
      </c>
    </row>
    <row x14ac:dyDescent="0.25" r="170" customHeight="1" ht="15">
      <c r="A170" s="38">
        <v>239.6</v>
      </c>
      <c r="B170" s="6">
        <f>IF(ISNUMBER(A170),
IF(AND(A170=INT(A170), MOD(A170, 10) = 0), 0,
IF(AND(A170=INT(A170), LEN(A170)=2), 1,
IF(AND(A170=INT(A170), LEN(A170)=3), 2,
LEN(A170) - FIND(".", A170) + 2)
)
),
"")</f>
      </c>
      <c r="C170" s="7" t="s">
        <v>182</v>
      </c>
      <c r="D170" s="8">
        <f>REPT("   ", B170*2) &amp; C170</f>
      </c>
      <c r="E170" s="7" t="s">
        <v>35</v>
      </c>
      <c r="F170" s="7" t="s">
        <v>36</v>
      </c>
      <c r="G170" s="10">
        <v>1</v>
      </c>
      <c r="H170" s="9"/>
      <c r="I170" s="15"/>
      <c r="J170" s="14"/>
      <c r="K170" s="14"/>
      <c r="L170" s="15"/>
      <c r="M170" s="7"/>
      <c r="N170" s="20"/>
      <c r="O170" s="15"/>
      <c r="P170" s="14"/>
      <c r="Q170" s="14"/>
      <c r="R170" s="15"/>
      <c r="S170" s="7"/>
      <c r="T170" s="15"/>
      <c r="U170" s="15"/>
      <c r="V170" s="15"/>
      <c r="W170" s="4" t="s">
        <v>44</v>
      </c>
      <c r="X170" s="12">
        <f>0.9*$J170</f>
      </c>
      <c r="Y170" s="12">
        <f>1.5*J170</f>
      </c>
      <c r="Z170" s="4" t="s">
        <v>45</v>
      </c>
      <c r="AA170" s="11">
        <f>0.9*K170</f>
      </c>
      <c r="AB170" s="11">
        <f>1.3*K170</f>
      </c>
      <c r="AC170" s="4" t="s">
        <v>45</v>
      </c>
      <c r="AD170" s="13">
        <v>0.1</v>
      </c>
      <c r="AE170" s="11">
        <v>1</v>
      </c>
      <c r="AF170" s="11">
        <v>0</v>
      </c>
      <c r="AG170" s="4" t="s">
        <v>46</v>
      </c>
    </row>
    <row x14ac:dyDescent="0.25" r="171" customHeight="1" ht="25.5">
      <c r="A171" s="20">
        <v>24</v>
      </c>
      <c r="B171" s="6">
        <f>IF(ISNUMBER(A171),
IF(AND(A171=INT(A171), MOD(A171, 10) = 0), 0,
IF(AND(A171=INT(A171), LEN(A171)=2), 1,
IF(AND(A171=INT(A171), LEN(A171)=3), 2,
LEN(A171) - FIND(".", A171) + 2)
)
),
"")</f>
      </c>
      <c r="C171" s="7" t="s">
        <v>183</v>
      </c>
      <c r="D171" s="8">
        <f>REPT("   ", B171*2) &amp; C171</f>
      </c>
      <c r="E171" s="9"/>
      <c r="F171" s="9"/>
      <c r="G171" s="10"/>
      <c r="H171" s="9"/>
      <c r="I171" s="15"/>
      <c r="J171" s="14"/>
      <c r="K171" s="14"/>
      <c r="L171" s="15"/>
      <c r="M171" s="7"/>
      <c r="N171" s="20"/>
      <c r="O171" s="15"/>
      <c r="P171" s="14"/>
      <c r="Q171" s="14"/>
      <c r="R171" s="15"/>
      <c r="S171" s="7"/>
      <c r="T171" s="15"/>
      <c r="U171" s="15"/>
      <c r="V171" s="15"/>
      <c r="W171" s="4"/>
      <c r="X171" s="12"/>
      <c r="Y171" s="12"/>
      <c r="Z171" s="4"/>
      <c r="AA171" s="11"/>
      <c r="AB171" s="11"/>
      <c r="AC171" s="4"/>
      <c r="AD171" s="13"/>
      <c r="AE171" s="11"/>
      <c r="AF171" s="11"/>
      <c r="AG171" s="4"/>
    </row>
    <row x14ac:dyDescent="0.25" r="172" customHeight="1" ht="15">
      <c r="A172" s="20">
        <v>241</v>
      </c>
      <c r="B172" s="6">
        <f>IF(ISNUMBER(A172),
IF(AND(A172=INT(A172), MOD(A172, 10) = 0), 0,
IF(AND(A172=INT(A172), LEN(A172)=2), 1,
IF(AND(A172=INT(A172), LEN(A172)=3), 2,
LEN(A172) - FIND(".", A172) + 2)
)
),
"")</f>
      </c>
      <c r="C172" s="7" t="s">
        <v>184</v>
      </c>
      <c r="D172" s="8">
        <f>REPT("   ", B172*2) &amp; C172</f>
      </c>
      <c r="E172" s="9"/>
      <c r="F172" s="9"/>
      <c r="G172" s="10"/>
      <c r="H172" s="9"/>
      <c r="I172" s="15"/>
      <c r="J172" s="14"/>
      <c r="K172" s="14"/>
      <c r="L172" s="15"/>
      <c r="M172" s="7"/>
      <c r="N172" s="20"/>
      <c r="O172" s="15"/>
      <c r="P172" s="14"/>
      <c r="Q172" s="14"/>
      <c r="R172" s="15"/>
      <c r="S172" s="7"/>
      <c r="T172" s="15"/>
      <c r="U172" s="15"/>
      <c r="V172" s="15"/>
      <c r="W172" s="4"/>
      <c r="X172" s="12"/>
      <c r="Y172" s="12"/>
      <c r="Z172" s="4"/>
      <c r="AA172" s="11"/>
      <c r="AB172" s="11"/>
      <c r="AC172" s="4"/>
      <c r="AD172" s="13"/>
      <c r="AE172" s="11"/>
      <c r="AF172" s="11"/>
      <c r="AG172" s="4"/>
    </row>
    <row x14ac:dyDescent="0.25" r="173" customHeight="1" ht="38.25">
      <c r="A173" s="23">
        <v>241.1</v>
      </c>
      <c r="B173" s="6">
        <f>IF(ISNUMBER(A173),
IF(AND(A173=INT(A173), MOD(A173, 10) = 0), 0,
IF(AND(A173=INT(A173), LEN(A173)=2), 1,
IF(AND(A173=INT(A173), LEN(A173)=3), 2,
LEN(A173) - FIND(".", A173) + 2)
)
),
"")</f>
      </c>
      <c r="C173" s="7" t="s">
        <v>138</v>
      </c>
      <c r="D173" s="8">
        <f>REPT("   ", B173*2) &amp; C173</f>
      </c>
      <c r="E173" s="7" t="s">
        <v>35</v>
      </c>
      <c r="F173" s="7" t="s">
        <v>108</v>
      </c>
      <c r="G173" s="10"/>
      <c r="H173" s="9"/>
      <c r="I173" s="15"/>
      <c r="J173" s="14"/>
      <c r="K173" s="14"/>
      <c r="L173" s="15"/>
      <c r="M173" s="7"/>
      <c r="N173" s="20"/>
      <c r="O173" s="15"/>
      <c r="P173" s="14"/>
      <c r="Q173" s="14"/>
      <c r="R173" s="15"/>
      <c r="S173" s="7"/>
      <c r="T173" s="15"/>
      <c r="U173" s="15"/>
      <c r="V173" s="7"/>
      <c r="W173" s="4" t="s">
        <v>44</v>
      </c>
      <c r="X173" s="12">
        <f>0.8*$I173</f>
      </c>
      <c r="Y173" s="12">
        <f>2*J173</f>
      </c>
      <c r="Z173" s="4" t="s">
        <v>45</v>
      </c>
      <c r="AA173" s="11">
        <f>0.8*K173</f>
      </c>
      <c r="AB173" s="11">
        <f>2*K173</f>
      </c>
      <c r="AC173" s="4" t="s">
        <v>45</v>
      </c>
      <c r="AD173" s="13">
        <v>0.1</v>
      </c>
      <c r="AE173" s="11">
        <v>1</v>
      </c>
      <c r="AF173" s="11">
        <v>0</v>
      </c>
      <c r="AG173" s="4" t="s">
        <v>46</v>
      </c>
    </row>
    <row x14ac:dyDescent="0.25" r="174" customHeight="1" ht="38.25">
      <c r="A174" s="23">
        <v>241.1</v>
      </c>
      <c r="B174" s="6">
        <f>IF(ISNUMBER(A174),
IF(AND(A174=INT(A174), MOD(A174, 10) = 0), 0,
IF(AND(A174=INT(A174), LEN(A174)=2), 1,
IF(AND(A174=INT(A174), LEN(A174)=3), 2,
LEN(A174) - FIND(".", A174) + 2)
)
),
"")</f>
      </c>
      <c r="C174" s="7" t="s">
        <v>185</v>
      </c>
      <c r="D174" s="8">
        <f>REPT("   ", B174*2) &amp; C174</f>
      </c>
      <c r="E174" s="7" t="s">
        <v>35</v>
      </c>
      <c r="F174" s="7" t="s">
        <v>108</v>
      </c>
      <c r="G174" s="10">
        <v>6</v>
      </c>
      <c r="H174" s="9"/>
      <c r="I174" s="15"/>
      <c r="J174" s="14">
        <v>232000</v>
      </c>
      <c r="K174" s="14"/>
      <c r="L174" s="15"/>
      <c r="M174" s="7"/>
      <c r="N174" s="20"/>
      <c r="O174" s="15"/>
      <c r="P174" s="14"/>
      <c r="Q174" s="14">
        <v>2023</v>
      </c>
      <c r="R174" s="15" t="s">
        <v>86</v>
      </c>
      <c r="S174" s="7" t="s">
        <v>133</v>
      </c>
      <c r="T174" s="15"/>
      <c r="U174" s="15"/>
      <c r="V174" s="15" t="s">
        <v>134</v>
      </c>
      <c r="W174" s="4" t="s">
        <v>44</v>
      </c>
      <c r="X174" s="12">
        <v>116000</v>
      </c>
      <c r="Y174" s="12">
        <v>348000</v>
      </c>
      <c r="Z174" s="4" t="s">
        <v>45</v>
      </c>
      <c r="AA174" s="11">
        <f>0.8*K174</f>
      </c>
      <c r="AB174" s="11">
        <f>2*K174</f>
      </c>
      <c r="AC174" s="4" t="s">
        <v>45</v>
      </c>
      <c r="AD174" s="13">
        <v>0.1</v>
      </c>
      <c r="AE174" s="11">
        <v>1</v>
      </c>
      <c r="AF174" s="11">
        <v>0</v>
      </c>
      <c r="AG174" s="4" t="s">
        <v>46</v>
      </c>
    </row>
    <row x14ac:dyDescent="0.25" r="175" customHeight="1" ht="38.25">
      <c r="A175" s="23">
        <v>241.1</v>
      </c>
      <c r="B175" s="6">
        <f>IF(ISNUMBER(A175),
IF(AND(A175=INT(A175), MOD(A175, 10) = 0), 0,
IF(AND(A175=INT(A175), LEN(A175)=2), 1,
IF(AND(A175=INT(A175), LEN(A175)=3), 2,
LEN(A175) - FIND(".", A175) + 2)
)
),
"")</f>
      </c>
      <c r="C175" s="7" t="s">
        <v>135</v>
      </c>
      <c r="D175" s="8">
        <f>REPT("   ", B175*2) &amp; C175</f>
      </c>
      <c r="E175" s="7" t="s">
        <v>35</v>
      </c>
      <c r="F175" s="7" t="s">
        <v>108</v>
      </c>
      <c r="G175" s="10">
        <v>2</v>
      </c>
      <c r="H175" s="9"/>
      <c r="I175" s="15"/>
      <c r="J175" s="14">
        <v>1971000</v>
      </c>
      <c r="K175" s="14"/>
      <c r="L175" s="15"/>
      <c r="M175" s="7"/>
      <c r="N175" s="20"/>
      <c r="O175" s="15"/>
      <c r="P175" s="14"/>
      <c r="Q175" s="14">
        <v>2023</v>
      </c>
      <c r="R175" s="15" t="s">
        <v>86</v>
      </c>
      <c r="S175" s="7" t="s">
        <v>133</v>
      </c>
      <c r="T175" s="15"/>
      <c r="U175" s="15"/>
      <c r="V175" s="15" t="s">
        <v>136</v>
      </c>
      <c r="W175" s="4" t="s">
        <v>44</v>
      </c>
      <c r="X175" s="12">
        <v>1752000</v>
      </c>
      <c r="Y175" s="12">
        <v>2190000</v>
      </c>
      <c r="Z175" s="4" t="s">
        <v>45</v>
      </c>
      <c r="AA175" s="11">
        <f>0.8*K175</f>
      </c>
      <c r="AB175" s="11">
        <f>2*K175</f>
      </c>
      <c r="AC175" s="4" t="s">
        <v>45</v>
      </c>
      <c r="AD175" s="13">
        <v>0.1</v>
      </c>
      <c r="AE175" s="11">
        <v>1</v>
      </c>
      <c r="AF175" s="11">
        <v>0</v>
      </c>
      <c r="AG175" s="4" t="s">
        <v>46</v>
      </c>
    </row>
    <row x14ac:dyDescent="0.25" r="176" customHeight="1" ht="38.25">
      <c r="A176" s="23">
        <v>241.1</v>
      </c>
      <c r="B176" s="6">
        <f>IF(ISNUMBER(A176),
IF(AND(A176=INT(A176), MOD(A176, 10) = 0), 0,
IF(AND(A176=INT(A176), LEN(A176)=2), 1,
IF(AND(A176=INT(A176), LEN(A176)=3), 2,
LEN(A176) - FIND(".", A176) + 2)
)
),
"")</f>
      </c>
      <c r="C176" s="7" t="s">
        <v>137</v>
      </c>
      <c r="D176" s="8">
        <f>REPT("   ", B176*2) &amp; C176</f>
      </c>
      <c r="E176" s="7" t="s">
        <v>35</v>
      </c>
      <c r="F176" s="7" t="s">
        <v>108</v>
      </c>
      <c r="G176" s="10">
        <v>1</v>
      </c>
      <c r="H176" s="9"/>
      <c r="I176" s="15"/>
      <c r="J176" s="14">
        <v>2738000</v>
      </c>
      <c r="K176" s="14"/>
      <c r="L176" s="15"/>
      <c r="M176" s="7"/>
      <c r="N176" s="20"/>
      <c r="O176" s="15"/>
      <c r="P176" s="14"/>
      <c r="Q176" s="14">
        <v>2023</v>
      </c>
      <c r="R176" s="15" t="s">
        <v>86</v>
      </c>
      <c r="S176" s="7" t="s">
        <v>133</v>
      </c>
      <c r="T176" s="15"/>
      <c r="U176" s="15"/>
      <c r="V176" s="15" t="s">
        <v>136</v>
      </c>
      <c r="W176" s="4" t="s">
        <v>44</v>
      </c>
      <c r="X176" s="12">
        <v>2190000</v>
      </c>
      <c r="Y176" s="12">
        <v>3285000</v>
      </c>
      <c r="Z176" s="4" t="s">
        <v>45</v>
      </c>
      <c r="AA176" s="11">
        <f>0.8*K176</f>
      </c>
      <c r="AB176" s="11">
        <f>2*K176</f>
      </c>
      <c r="AC176" s="4" t="s">
        <v>45</v>
      </c>
      <c r="AD176" s="13">
        <v>0.1</v>
      </c>
      <c r="AE176" s="11">
        <v>1</v>
      </c>
      <c r="AF176" s="11">
        <v>0</v>
      </c>
      <c r="AG176" s="4" t="s">
        <v>46</v>
      </c>
    </row>
    <row x14ac:dyDescent="0.25" r="177" customHeight="1" ht="38.25">
      <c r="A177" s="23">
        <v>241.1</v>
      </c>
      <c r="B177" s="6">
        <f>IF(ISNUMBER(A177),
IF(AND(A177=INT(A177), MOD(A177, 10) = 0), 0,
IF(AND(A177=INT(A177), LEN(A177)=2), 1,
IF(AND(A177=INT(A177), LEN(A177)=3), 2,
LEN(A177) - FIND(".", A177) + 2)
)
),
"")</f>
      </c>
      <c r="C177" s="7" t="s">
        <v>144</v>
      </c>
      <c r="D177" s="8">
        <f>REPT("   ", B177*2) &amp; C177</f>
      </c>
      <c r="E177" s="7" t="s">
        <v>35</v>
      </c>
      <c r="F177" s="7" t="s">
        <v>108</v>
      </c>
      <c r="G177" s="10">
        <v>1</v>
      </c>
      <c r="H177" s="9"/>
      <c r="I177" s="15"/>
      <c r="J177" s="14"/>
      <c r="K177" s="14"/>
      <c r="L177" s="15"/>
      <c r="M177" s="7"/>
      <c r="N177" s="20"/>
      <c r="O177" s="15"/>
      <c r="P177" s="14"/>
      <c r="Q177" s="14"/>
      <c r="R177" s="15"/>
      <c r="S177" s="7"/>
      <c r="T177" s="15"/>
      <c r="U177" s="15"/>
      <c r="V177" s="15"/>
      <c r="W177" s="4" t="s">
        <v>44</v>
      </c>
      <c r="X177" s="12">
        <f>0.8*$I177</f>
      </c>
      <c r="Y177" s="12">
        <f>2*J177</f>
      </c>
      <c r="Z177" s="4" t="s">
        <v>45</v>
      </c>
      <c r="AA177" s="11">
        <f>0.8*K177</f>
      </c>
      <c r="AB177" s="11">
        <f>2*K177</f>
      </c>
      <c r="AC177" s="4" t="s">
        <v>45</v>
      </c>
      <c r="AD177" s="13">
        <v>0.1</v>
      </c>
      <c r="AE177" s="11">
        <v>1</v>
      </c>
      <c r="AF177" s="11">
        <v>0</v>
      </c>
      <c r="AG177" s="4" t="s">
        <v>46</v>
      </c>
    </row>
    <row x14ac:dyDescent="0.25" r="178" customHeight="1" ht="38.25">
      <c r="A178" s="23">
        <v>241.1</v>
      </c>
      <c r="B178" s="6">
        <f>IF(ISNUMBER(A178),
IF(AND(A178=INT(A178), MOD(A178, 10) = 0), 0,
IF(AND(A178=INT(A178), LEN(A178)=2), 1,
IF(AND(A178=INT(A178), LEN(A178)=3), 2,
LEN(A178) - FIND(".", A178) + 2)
)
),
"")</f>
      </c>
      <c r="C178" s="7" t="s">
        <v>186</v>
      </c>
      <c r="D178" s="8">
        <f>REPT("   ", B178*2) &amp; C178</f>
      </c>
      <c r="E178" s="7" t="s">
        <v>35</v>
      </c>
      <c r="F178" s="7" t="s">
        <v>108</v>
      </c>
      <c r="G178" s="10">
        <v>1</v>
      </c>
      <c r="H178" s="9"/>
      <c r="I178" s="15"/>
      <c r="J178" s="14"/>
      <c r="K178" s="14"/>
      <c r="L178" s="15"/>
      <c r="M178" s="7"/>
      <c r="N178" s="20"/>
      <c r="O178" s="15"/>
      <c r="P178" s="14"/>
      <c r="Q178" s="14"/>
      <c r="R178" s="15"/>
      <c r="S178" s="7"/>
      <c r="T178" s="15"/>
      <c r="U178" s="15"/>
      <c r="V178" s="15"/>
      <c r="W178" s="4" t="s">
        <v>44</v>
      </c>
      <c r="X178" s="12">
        <f>0.9*$J178</f>
      </c>
      <c r="Y178" s="12">
        <f>1.5*J178</f>
      </c>
      <c r="Z178" s="4" t="s">
        <v>45</v>
      </c>
      <c r="AA178" s="11">
        <f>0.9*K178</f>
      </c>
      <c r="AB178" s="11">
        <f>1.3*K178</f>
      </c>
      <c r="AC178" s="4" t="s">
        <v>45</v>
      </c>
      <c r="AD178" s="13">
        <v>0.1</v>
      </c>
      <c r="AE178" s="11">
        <v>1</v>
      </c>
      <c r="AF178" s="11">
        <v>0</v>
      </c>
      <c r="AG178" s="4" t="s">
        <v>46</v>
      </c>
    </row>
    <row x14ac:dyDescent="0.25" r="179" customHeight="1" ht="15">
      <c r="A179" s="6">
        <v>242</v>
      </c>
      <c r="B179" s="6">
        <f>IF(ISNUMBER(A179),
IF(AND(A179=INT(A179), MOD(A179, 10) = 0), 0,
IF(AND(A179=INT(A179), LEN(A179)=2), 1,
IF(AND(A179=INT(A179), LEN(A179)=3), 2,
LEN(A179) - FIND(".", A179) + 2)
)
),
"")</f>
      </c>
      <c r="C179" s="7" t="s">
        <v>187</v>
      </c>
      <c r="D179" s="8">
        <f>REPT("   ", B179*2) &amp; C179</f>
      </c>
      <c r="E179" s="9"/>
      <c r="F179" s="9"/>
      <c r="G179" s="10"/>
      <c r="H179" s="9"/>
      <c r="I179" s="15"/>
      <c r="J179" s="14"/>
      <c r="K179" s="14"/>
      <c r="L179" s="15"/>
      <c r="M179" s="7"/>
      <c r="N179" s="20"/>
      <c r="O179" s="15"/>
      <c r="P179" s="14"/>
      <c r="Q179" s="14"/>
      <c r="R179" s="15"/>
      <c r="S179" s="7"/>
      <c r="T179" s="15"/>
      <c r="U179" s="15"/>
      <c r="V179" s="15"/>
      <c r="W179" s="4"/>
      <c r="X179" s="12"/>
      <c r="Y179" s="12"/>
      <c r="Z179" s="4"/>
      <c r="AA179" s="11"/>
      <c r="AB179" s="11"/>
      <c r="AC179" s="4"/>
      <c r="AD179" s="13"/>
      <c r="AE179" s="11"/>
      <c r="AF179" s="11"/>
      <c r="AG179" s="4"/>
    </row>
    <row x14ac:dyDescent="0.25" r="180" customHeight="1" ht="38.25">
      <c r="A180" s="38">
        <v>242.1</v>
      </c>
      <c r="B180" s="6">
        <f>IF(ISNUMBER(A180),
IF(AND(A180=INT(A180), MOD(A180, 10) = 0), 0,
IF(AND(A180=INT(A180), LEN(A180)=2), 1,
IF(AND(A180=INT(A180), LEN(A180)=3), 2,
LEN(A180) - FIND(".", A180) + 2)
)
),
"")</f>
      </c>
      <c r="C180" s="7" t="s">
        <v>147</v>
      </c>
      <c r="D180" s="8">
        <f>REPT("   ", B180*2) &amp; C180</f>
      </c>
      <c r="E180" s="7" t="s">
        <v>35</v>
      </c>
      <c r="F180" s="7" t="s">
        <v>111</v>
      </c>
      <c r="G180" s="10">
        <v>6</v>
      </c>
      <c r="H180" s="9"/>
      <c r="I180" s="15"/>
      <c r="J180" s="14">
        <v>232000</v>
      </c>
      <c r="K180" s="14"/>
      <c r="L180" s="15"/>
      <c r="M180" s="7"/>
      <c r="N180" s="20"/>
      <c r="O180" s="15"/>
      <c r="P180" s="14"/>
      <c r="Q180" s="14">
        <v>2023</v>
      </c>
      <c r="R180" s="15" t="s">
        <v>86</v>
      </c>
      <c r="S180" s="7" t="s">
        <v>133</v>
      </c>
      <c r="T180" s="15"/>
      <c r="U180" s="15"/>
      <c r="V180" s="15" t="s">
        <v>134</v>
      </c>
      <c r="W180" s="4" t="s">
        <v>44</v>
      </c>
      <c r="X180" s="12">
        <v>116000</v>
      </c>
      <c r="Y180" s="12">
        <v>348000</v>
      </c>
      <c r="Z180" s="4" t="s">
        <v>45</v>
      </c>
      <c r="AA180" s="11">
        <f>0.8*K180</f>
      </c>
      <c r="AB180" s="11">
        <f>2*K180</f>
      </c>
      <c r="AC180" s="4" t="s">
        <v>45</v>
      </c>
      <c r="AD180" s="13">
        <v>0.1</v>
      </c>
      <c r="AE180" s="11">
        <v>1</v>
      </c>
      <c r="AF180" s="11">
        <v>0</v>
      </c>
      <c r="AG180" s="4" t="s">
        <v>46</v>
      </c>
    </row>
    <row x14ac:dyDescent="0.25" r="181" customHeight="1" ht="38.25">
      <c r="A181" s="38">
        <v>242.1</v>
      </c>
      <c r="B181" s="6">
        <f>IF(ISNUMBER(A181),
IF(AND(A181=INT(A181), MOD(A181, 10) = 0), 0,
IF(AND(A181=INT(A181), LEN(A181)=2), 1,
IF(AND(A181=INT(A181), LEN(A181)=3), 2,
LEN(A181) - FIND(".", A181) + 2)
)
),
"")</f>
      </c>
      <c r="C181" s="7" t="s">
        <v>138</v>
      </c>
      <c r="D181" s="8">
        <f>REPT("   ", B181*2) &amp; C181</f>
      </c>
      <c r="E181" s="7" t="s">
        <v>35</v>
      </c>
      <c r="F181" s="7" t="s">
        <v>111</v>
      </c>
      <c r="G181" s="10">
        <v>1</v>
      </c>
      <c r="H181" s="9"/>
      <c r="I181" s="15"/>
      <c r="J181" s="14"/>
      <c r="K181" s="14"/>
      <c r="L181" s="15"/>
      <c r="M181" s="7"/>
      <c r="N181" s="20"/>
      <c r="O181" s="15"/>
      <c r="P181" s="14"/>
      <c r="Q181" s="14"/>
      <c r="R181" s="15"/>
      <c r="S181" s="7"/>
      <c r="T181" s="15"/>
      <c r="U181" s="15"/>
      <c r="V181" s="7"/>
      <c r="W181" s="4" t="s">
        <v>44</v>
      </c>
      <c r="X181" s="12">
        <f>0.8*$I181</f>
      </c>
      <c r="Y181" s="12">
        <f>2*J181</f>
      </c>
      <c r="Z181" s="4" t="s">
        <v>45</v>
      </c>
      <c r="AA181" s="11">
        <f>0.8*K181</f>
      </c>
      <c r="AB181" s="11">
        <f>2*K181</f>
      </c>
      <c r="AC181" s="4" t="s">
        <v>45</v>
      </c>
      <c r="AD181" s="13">
        <v>0.1</v>
      </c>
      <c r="AE181" s="11">
        <v>1</v>
      </c>
      <c r="AF181" s="11">
        <v>0</v>
      </c>
      <c r="AG181" s="4" t="s">
        <v>46</v>
      </c>
    </row>
    <row x14ac:dyDescent="0.25" r="182" customHeight="1" ht="38.25">
      <c r="A182" s="38">
        <v>242.1</v>
      </c>
      <c r="B182" s="6">
        <f>IF(ISNUMBER(A182),
IF(AND(A182=INT(A182), MOD(A182, 10) = 0), 0,
IF(AND(A182=INT(A182), LEN(A182)=2), 1,
IF(AND(A182=INT(A182), LEN(A182)=3), 2,
LEN(A182) - FIND(".", A182) + 2)
)
),
"")</f>
      </c>
      <c r="C182" s="7" t="s">
        <v>148</v>
      </c>
      <c r="D182" s="8">
        <f>REPT("   ", B182*2) &amp; C182</f>
      </c>
      <c r="E182" s="7" t="s">
        <v>35</v>
      </c>
      <c r="F182" s="7" t="s">
        <v>111</v>
      </c>
      <c r="G182" s="10">
        <v>1</v>
      </c>
      <c r="H182" s="9"/>
      <c r="I182" s="15"/>
      <c r="J182" s="14"/>
      <c r="K182" s="14"/>
      <c r="L182" s="15"/>
      <c r="M182" s="7"/>
      <c r="N182" s="20"/>
      <c r="O182" s="15"/>
      <c r="P182" s="14"/>
      <c r="Q182" s="14"/>
      <c r="R182" s="15"/>
      <c r="S182" s="7"/>
      <c r="T182" s="15"/>
      <c r="U182" s="15"/>
      <c r="V182" s="15" t="s">
        <v>149</v>
      </c>
      <c r="W182" s="4" t="s">
        <v>44</v>
      </c>
      <c r="X182" s="12">
        <f>0.8*$I182</f>
      </c>
      <c r="Y182" s="12">
        <f>2*J182</f>
      </c>
      <c r="Z182" s="4" t="s">
        <v>45</v>
      </c>
      <c r="AA182" s="11">
        <f>0.8*K182</f>
      </c>
      <c r="AB182" s="11">
        <f>2*K182</f>
      </c>
      <c r="AC182" s="4" t="s">
        <v>45</v>
      </c>
      <c r="AD182" s="13">
        <v>0.1</v>
      </c>
      <c r="AE182" s="11">
        <v>1</v>
      </c>
      <c r="AF182" s="11">
        <v>0</v>
      </c>
      <c r="AG182" s="4" t="s">
        <v>46</v>
      </c>
    </row>
    <row x14ac:dyDescent="0.25" r="183" customHeight="1" ht="38.25">
      <c r="A183" s="38">
        <v>242.1</v>
      </c>
      <c r="B183" s="6">
        <f>IF(ISNUMBER(A183),
IF(AND(A183=INT(A183), MOD(A183, 10) = 0), 0,
IF(AND(A183=INT(A183), LEN(A183)=2), 1,
IF(AND(A183=INT(A183), LEN(A183)=3), 2,
LEN(A183) - FIND(".", A183) + 2)
)
),
"")</f>
      </c>
      <c r="C183" s="7" t="s">
        <v>144</v>
      </c>
      <c r="D183" s="8">
        <f>REPT("   ", B183*2) &amp; C183</f>
      </c>
      <c r="E183" s="7" t="s">
        <v>35</v>
      </c>
      <c r="F183" s="7" t="s">
        <v>111</v>
      </c>
      <c r="G183" s="10">
        <v>1</v>
      </c>
      <c r="H183" s="9"/>
      <c r="I183" s="15"/>
      <c r="J183" s="14"/>
      <c r="K183" s="14"/>
      <c r="L183" s="15"/>
      <c r="M183" s="7"/>
      <c r="N183" s="20"/>
      <c r="O183" s="15"/>
      <c r="P183" s="14"/>
      <c r="Q183" s="14"/>
      <c r="R183" s="15"/>
      <c r="S183" s="7"/>
      <c r="T183" s="15"/>
      <c r="U183" s="15"/>
      <c r="V183" s="15"/>
      <c r="W183" s="4" t="s">
        <v>44</v>
      </c>
      <c r="X183" s="12">
        <f>0.8*$I183</f>
      </c>
      <c r="Y183" s="12">
        <f>2*J183</f>
      </c>
      <c r="Z183" s="4" t="s">
        <v>45</v>
      </c>
      <c r="AA183" s="11">
        <f>0.8*K183</f>
      </c>
      <c r="AB183" s="11">
        <f>2*K183</f>
      </c>
      <c r="AC183" s="4" t="s">
        <v>45</v>
      </c>
      <c r="AD183" s="13">
        <v>0.1</v>
      </c>
      <c r="AE183" s="11">
        <v>1</v>
      </c>
      <c r="AF183" s="11">
        <v>0</v>
      </c>
      <c r="AG183" s="4" t="s">
        <v>46</v>
      </c>
    </row>
    <row x14ac:dyDescent="0.25" r="184" customHeight="1" ht="38.25">
      <c r="A184" s="38">
        <v>242.1</v>
      </c>
      <c r="B184" s="6">
        <f>IF(ISNUMBER(A184),
IF(AND(A184=INT(A184), MOD(A184, 10) = 0), 0,
IF(AND(A184=INT(A184), LEN(A184)=2), 1,
IF(AND(A184=INT(A184), LEN(A184)=3), 2,
LEN(A184) - FIND(".", A184) + 2)
)
),
"")</f>
      </c>
      <c r="C184" s="7" t="s">
        <v>150</v>
      </c>
      <c r="D184" s="8">
        <f>REPT("   ", B184*2) &amp; C184</f>
      </c>
      <c r="E184" s="7" t="s">
        <v>35</v>
      </c>
      <c r="F184" s="7" t="s">
        <v>111</v>
      </c>
      <c r="G184" s="10">
        <v>1</v>
      </c>
      <c r="H184" s="9"/>
      <c r="I184" s="15"/>
      <c r="J184" s="14"/>
      <c r="K184" s="14"/>
      <c r="L184" s="15"/>
      <c r="M184" s="7"/>
      <c r="N184" s="20"/>
      <c r="O184" s="15"/>
      <c r="P184" s="14"/>
      <c r="Q184" s="14"/>
      <c r="R184" s="15"/>
      <c r="S184" s="7"/>
      <c r="T184" s="15"/>
      <c r="U184" s="15"/>
      <c r="V184" s="15"/>
      <c r="W184" s="4" t="s">
        <v>44</v>
      </c>
      <c r="X184" s="12">
        <f>0.9*$J184</f>
      </c>
      <c r="Y184" s="12">
        <f>1.5*J184</f>
      </c>
      <c r="Z184" s="4" t="s">
        <v>45</v>
      </c>
      <c r="AA184" s="11">
        <f>0.9*K184</f>
      </c>
      <c r="AB184" s="11">
        <f>1.3*K184</f>
      </c>
      <c r="AC184" s="4" t="s">
        <v>45</v>
      </c>
      <c r="AD184" s="13">
        <v>0.1</v>
      </c>
      <c r="AE184" s="11">
        <v>1</v>
      </c>
      <c r="AF184" s="11">
        <v>0</v>
      </c>
      <c r="AG184" s="4" t="s">
        <v>46</v>
      </c>
    </row>
    <row x14ac:dyDescent="0.25" r="185" customHeight="1" ht="15">
      <c r="A185" s="6">
        <v>243</v>
      </c>
      <c r="B185" s="6">
        <v>2</v>
      </c>
      <c r="C185" s="7" t="s">
        <v>188</v>
      </c>
      <c r="D185" s="8">
        <f>REPT("   ", B185*2) &amp; C185</f>
      </c>
      <c r="E185" s="9"/>
      <c r="F185" s="9"/>
      <c r="G185" s="10"/>
      <c r="H185" s="9"/>
      <c r="I185" s="15"/>
      <c r="J185" s="14"/>
      <c r="K185" s="14"/>
      <c r="L185" s="15"/>
      <c r="M185" s="7"/>
      <c r="N185" s="20"/>
      <c r="O185" s="15"/>
      <c r="P185" s="14"/>
      <c r="Q185" s="14"/>
      <c r="R185" s="15"/>
      <c r="S185" s="7"/>
      <c r="T185" s="15"/>
      <c r="U185" s="15"/>
      <c r="V185" s="15"/>
      <c r="W185" s="4"/>
      <c r="X185" s="12"/>
      <c r="Y185" s="12"/>
      <c r="Z185" s="4"/>
      <c r="AA185" s="11"/>
      <c r="AB185" s="11"/>
      <c r="AC185" s="4"/>
      <c r="AD185" s="13"/>
      <c r="AE185" s="11"/>
      <c r="AF185" s="11"/>
      <c r="AG185" s="4"/>
    </row>
    <row x14ac:dyDescent="0.25" r="186" customHeight="1" ht="38.25">
      <c r="A186" s="38">
        <v>243.1</v>
      </c>
      <c r="B186" s="6">
        <v>3</v>
      </c>
      <c r="C186" s="7" t="s">
        <v>135</v>
      </c>
      <c r="D186" s="8">
        <f>REPT("   ", B186*2) &amp; C186</f>
      </c>
      <c r="E186" s="7" t="s">
        <v>35</v>
      </c>
      <c r="F186" s="7" t="s">
        <v>108</v>
      </c>
      <c r="G186" s="10">
        <v>0.25</v>
      </c>
      <c r="H186" s="9"/>
      <c r="I186" s="15"/>
      <c r="J186" s="14"/>
      <c r="K186" s="14"/>
      <c r="L186" s="15"/>
      <c r="M186" s="7"/>
      <c r="N186" s="20"/>
      <c r="O186" s="15"/>
      <c r="P186" s="14"/>
      <c r="Q186" s="14"/>
      <c r="R186" s="15"/>
      <c r="S186" s="7"/>
      <c r="T186" s="15"/>
      <c r="U186" s="15"/>
      <c r="V186" s="15"/>
      <c r="W186" s="4" t="s">
        <v>44</v>
      </c>
      <c r="X186" s="12">
        <f>0.8*$I186</f>
      </c>
      <c r="Y186" s="12">
        <f>2*J186</f>
      </c>
      <c r="Z186" s="4" t="s">
        <v>45</v>
      </c>
      <c r="AA186" s="11">
        <f>0.8*K186</f>
      </c>
      <c r="AB186" s="11">
        <f>2*K186</f>
      </c>
      <c r="AC186" s="4" t="s">
        <v>45</v>
      </c>
      <c r="AD186" s="13">
        <v>0.1</v>
      </c>
      <c r="AE186" s="11">
        <v>1</v>
      </c>
      <c r="AF186" s="11">
        <v>0</v>
      </c>
      <c r="AG186" s="4" t="s">
        <v>46</v>
      </c>
    </row>
    <row x14ac:dyDescent="0.25" r="187" customHeight="1" ht="38.25">
      <c r="A187" s="38">
        <v>243.1</v>
      </c>
      <c r="B187" s="6">
        <v>3</v>
      </c>
      <c r="C187" s="7" t="s">
        <v>189</v>
      </c>
      <c r="D187" s="8">
        <f>REPT("   ", B187*2) &amp; C187</f>
      </c>
      <c r="E187" s="7" t="s">
        <v>35</v>
      </c>
      <c r="F187" s="7" t="s">
        <v>108</v>
      </c>
      <c r="G187" s="10">
        <v>0.1</v>
      </c>
      <c r="H187" s="9"/>
      <c r="I187" s="15"/>
      <c r="J187" s="14"/>
      <c r="K187" s="14"/>
      <c r="L187" s="15"/>
      <c r="M187" s="7"/>
      <c r="N187" s="20"/>
      <c r="O187" s="15"/>
      <c r="P187" s="14"/>
      <c r="Q187" s="14"/>
      <c r="R187" s="15"/>
      <c r="S187" s="7"/>
      <c r="T187" s="15"/>
      <c r="U187" s="15"/>
      <c r="V187" s="15"/>
      <c r="W187" s="4" t="s">
        <v>44</v>
      </c>
      <c r="X187" s="12">
        <f>0.8*$I187</f>
      </c>
      <c r="Y187" s="12">
        <f>2*J187</f>
      </c>
      <c r="Z187" s="4" t="s">
        <v>45</v>
      </c>
      <c r="AA187" s="11">
        <f>0.8*K187</f>
      </c>
      <c r="AB187" s="11">
        <f>2*K187</f>
      </c>
      <c r="AC187" s="4" t="s">
        <v>45</v>
      </c>
      <c r="AD187" s="13">
        <v>0.1</v>
      </c>
      <c r="AE187" s="11">
        <v>1</v>
      </c>
      <c r="AF187" s="11">
        <v>0</v>
      </c>
      <c r="AG187" s="4" t="s">
        <v>46</v>
      </c>
    </row>
    <row x14ac:dyDescent="0.25" r="188" customHeight="1" ht="38.25">
      <c r="A188" s="38">
        <v>243.1</v>
      </c>
      <c r="B188" s="6">
        <f>IF(ISNUMBER(A188),
IF(AND(A188=INT(A188), MOD(A188, 10) = 0), 0,
IF(AND(A188=INT(A188), LEN(A188)=2), 1,
IF(AND(A188=INT(A188), LEN(A188)=3), 2,
LEN(A188) - FIND(".", A188) + 2)
)
),
"")</f>
      </c>
      <c r="C188" s="7" t="s">
        <v>190</v>
      </c>
      <c r="D188" s="8">
        <f>REPT("   ", B188*2) &amp; C188</f>
      </c>
      <c r="E188" s="7" t="s">
        <v>35</v>
      </c>
      <c r="F188" s="7" t="s">
        <v>108</v>
      </c>
      <c r="G188" s="10">
        <v>0.25</v>
      </c>
      <c r="H188" s="9"/>
      <c r="I188" s="15"/>
      <c r="J188" s="14"/>
      <c r="K188" s="14"/>
      <c r="L188" s="15"/>
      <c r="M188" s="7"/>
      <c r="N188" s="20"/>
      <c r="O188" s="15"/>
      <c r="P188" s="14"/>
      <c r="Q188" s="14"/>
      <c r="R188" s="15"/>
      <c r="S188" s="7"/>
      <c r="T188" s="15"/>
      <c r="U188" s="15"/>
      <c r="V188" s="15"/>
      <c r="W188" s="4" t="s">
        <v>44</v>
      </c>
      <c r="X188" s="12">
        <f>0.8*$I188</f>
      </c>
      <c r="Y188" s="12">
        <f>2*J188</f>
      </c>
      <c r="Z188" s="4" t="s">
        <v>45</v>
      </c>
      <c r="AA188" s="11">
        <f>0.8*K188</f>
      </c>
      <c r="AB188" s="11">
        <f>2*K188</f>
      </c>
      <c r="AC188" s="4" t="s">
        <v>45</v>
      </c>
      <c r="AD188" s="13">
        <v>0.1</v>
      </c>
      <c r="AE188" s="11">
        <v>1</v>
      </c>
      <c r="AF188" s="11">
        <v>0</v>
      </c>
      <c r="AG188" s="4" t="s">
        <v>46</v>
      </c>
    </row>
    <row x14ac:dyDescent="0.25" r="189" customHeight="1" ht="15">
      <c r="A189" s="6">
        <v>244</v>
      </c>
      <c r="B189" s="6">
        <f>IF(ISNUMBER(A189),
IF(AND(A189=INT(A189), MOD(A189, 10) = 0), 0,
IF(AND(A189=INT(A189), LEN(A189)=2), 1,
IF(AND(A189=INT(A189), LEN(A189)=3), 2,
LEN(A189) - FIND(".", A189) + 2)
)
),
"")</f>
      </c>
      <c r="C189" s="7" t="s">
        <v>151</v>
      </c>
      <c r="D189" s="8">
        <f>REPT("   ", B189*2) &amp; C189</f>
      </c>
      <c r="E189" s="9"/>
      <c r="F189" s="9"/>
      <c r="G189" s="10"/>
      <c r="H189" s="9"/>
      <c r="I189" s="15"/>
      <c r="J189" s="14"/>
      <c r="K189" s="14"/>
      <c r="L189" s="15"/>
      <c r="M189" s="7"/>
      <c r="N189" s="20"/>
      <c r="O189" s="15"/>
      <c r="P189" s="14"/>
      <c r="Q189" s="14"/>
      <c r="R189" s="15"/>
      <c r="S189" s="7"/>
      <c r="T189" s="15"/>
      <c r="U189" s="15"/>
      <c r="V189" s="15"/>
      <c r="W189" s="4"/>
      <c r="X189" s="12"/>
      <c r="Y189" s="12"/>
      <c r="Z189" s="4"/>
      <c r="AA189" s="11"/>
      <c r="AB189" s="11"/>
      <c r="AC189" s="4"/>
      <c r="AD189" s="13"/>
      <c r="AE189" s="11"/>
      <c r="AF189" s="11"/>
      <c r="AG189" s="4"/>
    </row>
    <row x14ac:dyDescent="0.25" r="190" customHeight="1" ht="15">
      <c r="A190" s="38">
        <v>244.1</v>
      </c>
      <c r="B190" s="6">
        <f>IF(ISNUMBER(A190),
IF(AND(A190=INT(A190), MOD(A190, 10) = 0), 0,
IF(AND(A190=INT(A190), LEN(A190)=2), 1,
IF(AND(A190=INT(A190), LEN(A190)=3), 2,
LEN(A190) - FIND(".", A190) + 2)
)
),
"")</f>
      </c>
      <c r="C190" s="7" t="s">
        <v>152</v>
      </c>
      <c r="D190" s="8">
        <f>REPT("   ", B190*2) &amp; C190</f>
      </c>
      <c r="E190" s="7" t="s">
        <v>35</v>
      </c>
      <c r="F190" s="7" t="s">
        <v>36</v>
      </c>
      <c r="G190" s="10">
        <v>1</v>
      </c>
      <c r="H190" s="9"/>
      <c r="I190" s="15"/>
      <c r="J190" s="14"/>
      <c r="K190" s="14"/>
      <c r="L190" s="15"/>
      <c r="M190" s="7"/>
      <c r="N190" s="20"/>
      <c r="O190" s="15"/>
      <c r="P190" s="14"/>
      <c r="Q190" s="14"/>
      <c r="R190" s="15"/>
      <c r="S190" s="7"/>
      <c r="T190" s="15"/>
      <c r="U190" s="15"/>
      <c r="V190" s="15"/>
      <c r="W190" s="4" t="s">
        <v>44</v>
      </c>
      <c r="X190" s="12">
        <f>0.8*$I190</f>
      </c>
      <c r="Y190" s="12">
        <f>2*J190</f>
      </c>
      <c r="Z190" s="4" t="s">
        <v>45</v>
      </c>
      <c r="AA190" s="11">
        <f>0.8*K190</f>
      </c>
      <c r="AB190" s="11">
        <f>2*K190</f>
      </c>
      <c r="AC190" s="4" t="s">
        <v>45</v>
      </c>
      <c r="AD190" s="13">
        <v>0.1</v>
      </c>
      <c r="AE190" s="11">
        <v>1</v>
      </c>
      <c r="AF190" s="11">
        <v>0</v>
      </c>
      <c r="AG190" s="4" t="s">
        <v>46</v>
      </c>
    </row>
    <row x14ac:dyDescent="0.25" r="191" customHeight="1" ht="25.5">
      <c r="A191" s="38">
        <v>244.2</v>
      </c>
      <c r="B191" s="6">
        <f>IF(ISNUMBER(A191),
IF(AND(A191=INT(A191), MOD(A191, 10) = 0), 0,
IF(AND(A191=INT(A191), LEN(A191)=2), 1,
IF(AND(A191=INT(A191), LEN(A191)=3), 2,
LEN(A191) - FIND(".", A191) + 2)
)
),
"")</f>
      </c>
      <c r="C191" s="7" t="s">
        <v>153</v>
      </c>
      <c r="D191" s="8">
        <f>REPT("   ", B191*2) &amp; C191</f>
      </c>
      <c r="E191" s="7" t="s">
        <v>35</v>
      </c>
      <c r="F191" s="7" t="s">
        <v>36</v>
      </c>
      <c r="G191" s="10">
        <v>1</v>
      </c>
      <c r="H191" s="9"/>
      <c r="I191" s="15"/>
      <c r="J191" s="14"/>
      <c r="K191" s="14">
        <f>111284601/N191</f>
      </c>
      <c r="L191" s="15"/>
      <c r="M191" s="7" t="s">
        <v>191</v>
      </c>
      <c r="N191" s="14">
        <v>3417</v>
      </c>
      <c r="O191" s="15" t="s">
        <v>155</v>
      </c>
      <c r="P191" s="39">
        <v>0.8</v>
      </c>
      <c r="Q191" s="14">
        <v>2018</v>
      </c>
      <c r="R191" s="15" t="s">
        <v>86</v>
      </c>
      <c r="S191" s="7" t="s">
        <v>156</v>
      </c>
      <c r="T191" s="15"/>
      <c r="U191" s="15"/>
      <c r="V191" s="15" t="s">
        <v>157</v>
      </c>
      <c r="W191" s="4" t="s">
        <v>44</v>
      </c>
      <c r="X191" s="12">
        <f>0.8*$I191</f>
      </c>
      <c r="Y191" s="12">
        <f>2*J191</f>
      </c>
      <c r="Z191" s="4" t="s">
        <v>45</v>
      </c>
      <c r="AA191" s="13">
        <f>0.8*K191</f>
      </c>
      <c r="AB191" s="13">
        <f>2*K191</f>
      </c>
      <c r="AC191" s="4" t="s">
        <v>45</v>
      </c>
      <c r="AD191" s="13">
        <v>0.1</v>
      </c>
      <c r="AE191" s="11">
        <v>1</v>
      </c>
      <c r="AF191" s="11">
        <v>0</v>
      </c>
      <c r="AG191" s="4" t="s">
        <v>46</v>
      </c>
    </row>
    <row x14ac:dyDescent="0.25" r="192" customHeight="1" ht="15">
      <c r="A192" s="38">
        <v>244.3</v>
      </c>
      <c r="B192" s="6">
        <f>IF(ISNUMBER(A192),
IF(AND(A192=INT(A192), MOD(A192, 10) = 0), 0,
IF(AND(A192=INT(A192), LEN(A192)=2), 1,
IF(AND(A192=INT(A192), LEN(A192)=3), 2,
LEN(A192) - FIND(".", A192) + 2)
)
),
"")</f>
      </c>
      <c r="C192" s="7" t="s">
        <v>158</v>
      </c>
      <c r="D192" s="8">
        <f>REPT("   ", B192*2) &amp; C192</f>
      </c>
      <c r="E192" s="9"/>
      <c r="F192" s="9"/>
      <c r="G192" s="10"/>
      <c r="H192" s="9"/>
      <c r="I192" s="15"/>
      <c r="J192" s="14"/>
      <c r="K192" s="14"/>
      <c r="L192" s="15"/>
      <c r="M192" s="7"/>
      <c r="N192" s="20"/>
      <c r="O192" s="15"/>
      <c r="P192" s="14"/>
      <c r="Q192" s="14"/>
      <c r="R192" s="15"/>
      <c r="S192" s="7"/>
      <c r="T192" s="15"/>
      <c r="U192" s="15"/>
      <c r="V192" s="15"/>
      <c r="W192" s="4"/>
      <c r="X192" s="12"/>
      <c r="Y192" s="12"/>
      <c r="Z192" s="4"/>
      <c r="AA192" s="11"/>
      <c r="AB192" s="11"/>
      <c r="AC192" s="4"/>
      <c r="AD192" s="13"/>
      <c r="AE192" s="11"/>
      <c r="AF192" s="11"/>
      <c r="AG192" s="4"/>
    </row>
    <row x14ac:dyDescent="0.25" r="193" customHeight="1" ht="25.5">
      <c r="A193" s="38">
        <v>244.31</v>
      </c>
      <c r="B193" s="6">
        <f>IF(ISNUMBER(A193),
IF(AND(A193=INT(A193), MOD(A193, 10) = 0), 0,
IF(AND(A193=INT(A193), LEN(A193)=2), 1,
IF(AND(A193=INT(A193), LEN(A193)=3), 2,
LEN(A193) - FIND(".", A193) + 2)
)
),
"")</f>
      </c>
      <c r="C193" s="7" t="s">
        <v>159</v>
      </c>
      <c r="D193" s="8">
        <f>REPT("   ", B193*2) &amp; C193</f>
      </c>
      <c r="E193" s="7" t="s">
        <v>35</v>
      </c>
      <c r="F193" s="7" t="s">
        <v>36</v>
      </c>
      <c r="G193" s="10">
        <v>1</v>
      </c>
      <c r="H193" s="9"/>
      <c r="I193" s="15"/>
      <c r="J193" s="14"/>
      <c r="K193" s="14">
        <f>3330589.8/N193</f>
      </c>
      <c r="L193" s="15" t="s">
        <v>160</v>
      </c>
      <c r="M193" s="7" t="s">
        <v>191</v>
      </c>
      <c r="N193" s="14">
        <v>3417</v>
      </c>
      <c r="O193" s="15" t="s">
        <v>155</v>
      </c>
      <c r="P193" s="39">
        <v>0.8</v>
      </c>
      <c r="Q193" s="14">
        <v>2018</v>
      </c>
      <c r="R193" s="15" t="s">
        <v>86</v>
      </c>
      <c r="S193" s="7" t="s">
        <v>156</v>
      </c>
      <c r="T193" s="15"/>
      <c r="U193" s="15"/>
      <c r="V193" s="15"/>
      <c r="W193" s="4" t="s">
        <v>44</v>
      </c>
      <c r="X193" s="12">
        <f>0.8*$I193</f>
      </c>
      <c r="Y193" s="12">
        <f>2*J193</f>
      </c>
      <c r="Z193" s="4" t="s">
        <v>45</v>
      </c>
      <c r="AA193" s="13">
        <f>0.8*K193</f>
      </c>
      <c r="AB193" s="13">
        <f>2*K193</f>
      </c>
      <c r="AC193" s="4" t="s">
        <v>45</v>
      </c>
      <c r="AD193" s="13">
        <v>0.1</v>
      </c>
      <c r="AE193" s="11">
        <v>1</v>
      </c>
      <c r="AF193" s="11">
        <v>0</v>
      </c>
      <c r="AG193" s="4" t="s">
        <v>46</v>
      </c>
    </row>
    <row x14ac:dyDescent="0.25" r="194" customHeight="1" ht="25.5">
      <c r="A194" s="38">
        <v>244.32</v>
      </c>
      <c r="B194" s="6">
        <f>IF(ISNUMBER(A194),
IF(AND(A194=INT(A194), MOD(A194, 10) = 0), 0,
IF(AND(A194=INT(A194), LEN(A194)=2), 1,
IF(AND(A194=INT(A194), LEN(A194)=3), 2,
LEN(A194) - FIND(".", A194) + 2)
)
),
"")</f>
      </c>
      <c r="C194" s="7" t="s">
        <v>161</v>
      </c>
      <c r="D194" s="8">
        <f>REPT("   ", B194*2) &amp; C194</f>
      </c>
      <c r="E194" s="7" t="s">
        <v>35</v>
      </c>
      <c r="F194" s="7" t="s">
        <v>36</v>
      </c>
      <c r="G194" s="10">
        <v>1</v>
      </c>
      <c r="H194" s="9"/>
      <c r="I194" s="15"/>
      <c r="J194" s="14"/>
      <c r="K194" s="14">
        <f>33058834.16/N194</f>
      </c>
      <c r="L194" s="15" t="s">
        <v>160</v>
      </c>
      <c r="M194" s="7" t="s">
        <v>191</v>
      </c>
      <c r="N194" s="14">
        <v>3417</v>
      </c>
      <c r="O194" s="15" t="s">
        <v>155</v>
      </c>
      <c r="P194" s="39">
        <v>0.8</v>
      </c>
      <c r="Q194" s="14">
        <v>2018</v>
      </c>
      <c r="R194" s="15" t="s">
        <v>86</v>
      </c>
      <c r="S194" s="7" t="s">
        <v>156</v>
      </c>
      <c r="T194" s="15"/>
      <c r="U194" s="15"/>
      <c r="V194" s="15"/>
      <c r="W194" s="4" t="s">
        <v>44</v>
      </c>
      <c r="X194" s="12">
        <f>0.8*$I194</f>
      </c>
      <c r="Y194" s="12">
        <f>2*J194</f>
      </c>
      <c r="Z194" s="4" t="s">
        <v>45</v>
      </c>
      <c r="AA194" s="13">
        <f>0.8*K194</f>
      </c>
      <c r="AB194" s="13">
        <f>2*K194</f>
      </c>
      <c r="AC194" s="4" t="s">
        <v>45</v>
      </c>
      <c r="AD194" s="13">
        <v>0.1</v>
      </c>
      <c r="AE194" s="11">
        <v>1</v>
      </c>
      <c r="AF194" s="11">
        <v>0</v>
      </c>
      <c r="AG194" s="4" t="s">
        <v>46</v>
      </c>
    </row>
    <row x14ac:dyDescent="0.25" r="195" customHeight="1" ht="25.5">
      <c r="A195" s="38">
        <v>244.33</v>
      </c>
      <c r="B195" s="6">
        <f>IF(ISNUMBER(A195),
IF(AND(A195=INT(A195), MOD(A195, 10) = 0), 0,
IF(AND(A195=INT(A195), LEN(A195)=2), 1,
IF(AND(A195=INT(A195), LEN(A195)=3), 2,
LEN(A195) - FIND(".", A195) + 2)
)
),
"")</f>
      </c>
      <c r="C195" s="7" t="s">
        <v>162</v>
      </c>
      <c r="D195" s="8">
        <f>REPT("   ", B195*2) &amp; C195</f>
      </c>
      <c r="E195" s="7" t="s">
        <v>35</v>
      </c>
      <c r="F195" s="7" t="s">
        <v>36</v>
      </c>
      <c r="G195" s="10">
        <v>1</v>
      </c>
      <c r="H195" s="9"/>
      <c r="I195" s="15"/>
      <c r="J195" s="14"/>
      <c r="K195" s="14">
        <f>15805121.88/N195</f>
      </c>
      <c r="L195" s="15" t="s">
        <v>160</v>
      </c>
      <c r="M195" s="7" t="s">
        <v>191</v>
      </c>
      <c r="N195" s="14">
        <v>3417</v>
      </c>
      <c r="O195" s="15" t="s">
        <v>155</v>
      </c>
      <c r="P195" s="39">
        <v>0.8</v>
      </c>
      <c r="Q195" s="14">
        <v>2018</v>
      </c>
      <c r="R195" s="15" t="s">
        <v>86</v>
      </c>
      <c r="S195" s="7" t="s">
        <v>156</v>
      </c>
      <c r="T195" s="15"/>
      <c r="U195" s="15"/>
      <c r="V195" s="15"/>
      <c r="W195" s="4" t="s">
        <v>44</v>
      </c>
      <c r="X195" s="12">
        <f>0.8*$I195</f>
      </c>
      <c r="Y195" s="12">
        <f>2*J195</f>
      </c>
      <c r="Z195" s="4" t="s">
        <v>45</v>
      </c>
      <c r="AA195" s="13">
        <f>0.8*K195</f>
      </c>
      <c r="AB195" s="13">
        <f>2*K195</f>
      </c>
      <c r="AC195" s="4" t="s">
        <v>45</v>
      </c>
      <c r="AD195" s="13">
        <v>0.1</v>
      </c>
      <c r="AE195" s="11">
        <v>1</v>
      </c>
      <c r="AF195" s="11">
        <v>0</v>
      </c>
      <c r="AG195" s="4" t="s">
        <v>46</v>
      </c>
    </row>
    <row x14ac:dyDescent="0.25" r="196" customHeight="1" ht="39">
      <c r="A196" s="38">
        <v>244.4</v>
      </c>
      <c r="B196" s="6">
        <f>IF(ISNUMBER(A196),
IF(AND(A196=INT(A196), MOD(A196, 10) = 0), 0,
IF(AND(A196=INT(A196), LEN(A196)=2), 1,
IF(AND(A196=INT(A196), LEN(A196)=3), 2,
LEN(A196) - FIND(".", A196) + 2)
)
),
"")</f>
      </c>
      <c r="C196" s="7" t="s">
        <v>163</v>
      </c>
      <c r="D196" s="8">
        <f>REPT("   ", B196*2) &amp; C196</f>
      </c>
      <c r="E196" s="7" t="s">
        <v>35</v>
      </c>
      <c r="F196" s="7" t="s">
        <v>36</v>
      </c>
      <c r="G196" s="10">
        <v>1</v>
      </c>
      <c r="H196" s="9"/>
      <c r="I196" s="15"/>
      <c r="J196" s="14"/>
      <c r="K196" s="14">
        <f>8275000/N196</f>
      </c>
      <c r="L196" s="15" t="s">
        <v>74</v>
      </c>
      <c r="M196" s="7" t="s">
        <v>192</v>
      </c>
      <c r="N196" s="39">
        <v>201049.28</v>
      </c>
      <c r="O196" s="15" t="s">
        <v>76</v>
      </c>
      <c r="P196" s="39">
        <v>0.6</v>
      </c>
      <c r="Q196" s="14">
        <v>1978</v>
      </c>
      <c r="R196" s="15" t="s">
        <v>86</v>
      </c>
      <c r="S196" s="7"/>
      <c r="T196" s="15" t="s">
        <v>165</v>
      </c>
      <c r="U196" s="25" t="s">
        <v>166</v>
      </c>
      <c r="V196" s="15" t="s">
        <v>167</v>
      </c>
      <c r="W196" s="4" t="s">
        <v>44</v>
      </c>
      <c r="X196" s="12">
        <f>0.8*$I196</f>
      </c>
      <c r="Y196" s="12">
        <f>2*J196</f>
      </c>
      <c r="Z196" s="4" t="s">
        <v>45</v>
      </c>
      <c r="AA196" s="13">
        <f>0.8*K196</f>
      </c>
      <c r="AB196" s="13">
        <f>2*K196</f>
      </c>
      <c r="AC196" s="4" t="s">
        <v>45</v>
      </c>
      <c r="AD196" s="13">
        <v>0.1</v>
      </c>
      <c r="AE196" s="11">
        <v>1</v>
      </c>
      <c r="AF196" s="11">
        <v>0</v>
      </c>
      <c r="AG196" s="4" t="s">
        <v>46</v>
      </c>
    </row>
    <row x14ac:dyDescent="0.25" r="197" customHeight="1" ht="15">
      <c r="A197" s="6">
        <v>249</v>
      </c>
      <c r="B197" s="6">
        <f>IF(ISNUMBER(A197),
IF(AND(A197=INT(A197), MOD(A197, 10) = 0), 0,
IF(AND(A197=INT(A197), LEN(A197)=2), 1,
IF(AND(A197=INT(A197), LEN(A197)=3), 2,
LEN(A197) - FIND(".", A197) + 2)
)
),
"")</f>
      </c>
      <c r="C197" s="7" t="s">
        <v>176</v>
      </c>
      <c r="D197" s="8">
        <f>REPT("   ", B197*2) &amp; C197</f>
      </c>
      <c r="E197" s="9"/>
      <c r="F197" s="9"/>
      <c r="G197" s="10"/>
      <c r="H197" s="9"/>
      <c r="I197" s="15"/>
      <c r="J197" s="14"/>
      <c r="K197" s="14"/>
      <c r="L197" s="15"/>
      <c r="M197" s="7"/>
      <c r="N197" s="20"/>
      <c r="O197" s="15"/>
      <c r="P197" s="14"/>
      <c r="Q197" s="14"/>
      <c r="R197" s="15"/>
      <c r="S197" s="7"/>
      <c r="T197" s="15"/>
      <c r="U197" s="15"/>
      <c r="V197" s="15"/>
      <c r="W197" s="4"/>
      <c r="X197" s="12"/>
      <c r="Y197" s="12"/>
      <c r="Z197" s="4"/>
      <c r="AA197" s="11"/>
      <c r="AB197" s="11"/>
      <c r="AC197" s="4"/>
      <c r="AD197" s="13"/>
      <c r="AE197" s="11"/>
      <c r="AF197" s="11"/>
      <c r="AG197" s="4"/>
    </row>
    <row x14ac:dyDescent="0.25" r="198" customHeight="1" ht="15">
      <c r="A198" s="38">
        <v>249.1</v>
      </c>
      <c r="B198" s="6">
        <f>IF(ISNUMBER(A198),
IF(AND(A198=INT(A198), MOD(A198, 10) = 0), 0,
IF(AND(A198=INT(A198), LEN(A198)=2), 1,
IF(AND(A198=INT(A198), LEN(A198)=3), 2,
LEN(A198) - FIND(".", A198) + 2)
)
),
"")</f>
      </c>
      <c r="C198" s="7" t="s">
        <v>177</v>
      </c>
      <c r="D198" s="8">
        <f>REPT("   ", B198*2) &amp; C198</f>
      </c>
      <c r="E198" s="7" t="s">
        <v>35</v>
      </c>
      <c r="F198" s="7" t="s">
        <v>36</v>
      </c>
      <c r="G198" s="10">
        <v>1</v>
      </c>
      <c r="H198" s="9"/>
      <c r="I198" s="15"/>
      <c r="J198" s="14"/>
      <c r="K198" s="14"/>
      <c r="L198" s="15"/>
      <c r="M198" s="7"/>
      <c r="N198" s="20"/>
      <c r="O198" s="15"/>
      <c r="P198" s="14"/>
      <c r="Q198" s="14"/>
      <c r="R198" s="15"/>
      <c r="S198" s="7"/>
      <c r="T198" s="15"/>
      <c r="U198" s="15"/>
      <c r="V198" s="15"/>
      <c r="W198" s="4" t="s">
        <v>44</v>
      </c>
      <c r="X198" s="12">
        <f>0.8*$I198</f>
      </c>
      <c r="Y198" s="12">
        <f>2*J198</f>
      </c>
      <c r="Z198" s="4" t="s">
        <v>45</v>
      </c>
      <c r="AA198" s="11">
        <f>0.8*K198</f>
      </c>
      <c r="AB198" s="11">
        <f>2*K198</f>
      </c>
      <c r="AC198" s="4" t="s">
        <v>45</v>
      </c>
      <c r="AD198" s="13">
        <v>0.1</v>
      </c>
      <c r="AE198" s="11">
        <v>1</v>
      </c>
      <c r="AF198" s="11">
        <v>0</v>
      </c>
      <c r="AG198" s="4" t="s">
        <v>46</v>
      </c>
    </row>
    <row x14ac:dyDescent="0.25" r="199" customHeight="1" ht="15">
      <c r="A199" s="38">
        <v>249.2</v>
      </c>
      <c r="B199" s="6">
        <f>IF(ISNUMBER(A199),
IF(AND(A199=INT(A199), MOD(A199, 10) = 0), 0,
IF(AND(A199=INT(A199), LEN(A199)=2), 1,
IF(AND(A199=INT(A199), LEN(A199)=3), 2,
LEN(A199) - FIND(".", A199) + 2)
)
),
"")</f>
      </c>
      <c r="C199" s="7" t="s">
        <v>178</v>
      </c>
      <c r="D199" s="8">
        <f>REPT("   ", B199*2) &amp; C199</f>
      </c>
      <c r="E199" s="7" t="s">
        <v>35</v>
      </c>
      <c r="F199" s="7" t="s">
        <v>36</v>
      </c>
      <c r="G199" s="10">
        <v>1</v>
      </c>
      <c r="H199" s="9"/>
      <c r="I199" s="15"/>
      <c r="J199" s="14"/>
      <c r="K199" s="14"/>
      <c r="L199" s="15"/>
      <c r="M199" s="7"/>
      <c r="N199" s="20"/>
      <c r="O199" s="15"/>
      <c r="P199" s="14"/>
      <c r="Q199" s="14"/>
      <c r="R199" s="15"/>
      <c r="S199" s="7"/>
      <c r="T199" s="15"/>
      <c r="U199" s="15"/>
      <c r="V199" s="15"/>
      <c r="W199" s="4" t="s">
        <v>44</v>
      </c>
      <c r="X199" s="12">
        <f>0.8*$I199</f>
      </c>
      <c r="Y199" s="12">
        <f>2*J199</f>
      </c>
      <c r="Z199" s="4" t="s">
        <v>45</v>
      </c>
      <c r="AA199" s="11">
        <f>0.8*K199</f>
      </c>
      <c r="AB199" s="11">
        <f>2*K199</f>
      </c>
      <c r="AC199" s="4" t="s">
        <v>45</v>
      </c>
      <c r="AD199" s="13">
        <v>0.1</v>
      </c>
      <c r="AE199" s="11">
        <v>1</v>
      </c>
      <c r="AF199" s="11">
        <v>0</v>
      </c>
      <c r="AG199" s="4" t="s">
        <v>46</v>
      </c>
    </row>
    <row x14ac:dyDescent="0.25" r="200" customHeight="1" ht="15">
      <c r="A200" s="38">
        <v>249.3</v>
      </c>
      <c r="B200" s="6">
        <f>IF(ISNUMBER(A200),
IF(AND(A200=INT(A200), MOD(A200, 10) = 0), 0,
IF(AND(A200=INT(A200), LEN(A200)=2), 1,
IF(AND(A200=INT(A200), LEN(A200)=3), 2,
LEN(A200) - FIND(".", A200) + 2)
)
),
"")</f>
      </c>
      <c r="C200" s="7" t="s">
        <v>179</v>
      </c>
      <c r="D200" s="8">
        <f>REPT("   ", B200*2) &amp; C200</f>
      </c>
      <c r="E200" s="7" t="s">
        <v>35</v>
      </c>
      <c r="F200" s="7" t="s">
        <v>36</v>
      </c>
      <c r="G200" s="10">
        <v>1</v>
      </c>
      <c r="H200" s="9"/>
      <c r="I200" s="15"/>
      <c r="J200" s="14"/>
      <c r="K200" s="14"/>
      <c r="L200" s="15"/>
      <c r="M200" s="7"/>
      <c r="N200" s="20"/>
      <c r="O200" s="15"/>
      <c r="P200" s="14"/>
      <c r="Q200" s="14"/>
      <c r="R200" s="15"/>
      <c r="S200" s="7"/>
      <c r="T200" s="15"/>
      <c r="U200" s="15"/>
      <c r="V200" s="15"/>
      <c r="W200" s="4" t="s">
        <v>44</v>
      </c>
      <c r="X200" s="12">
        <f>0.8*$I200</f>
      </c>
      <c r="Y200" s="12">
        <f>2*J200</f>
      </c>
      <c r="Z200" s="4" t="s">
        <v>45</v>
      </c>
      <c r="AA200" s="11">
        <f>0.8*K200</f>
      </c>
      <c r="AB200" s="11">
        <f>2*K200</f>
      </c>
      <c r="AC200" s="4" t="s">
        <v>45</v>
      </c>
      <c r="AD200" s="13">
        <v>0.1</v>
      </c>
      <c r="AE200" s="11">
        <v>1</v>
      </c>
      <c r="AF200" s="11">
        <v>0</v>
      </c>
      <c r="AG200" s="4" t="s">
        <v>46</v>
      </c>
    </row>
    <row x14ac:dyDescent="0.25" r="201" customHeight="1" ht="15">
      <c r="A201" s="38">
        <v>249.4</v>
      </c>
      <c r="B201" s="6">
        <f>IF(ISNUMBER(A201),
IF(AND(A201=INT(A201), MOD(A201, 10) = 0), 0,
IF(AND(A201=INT(A201), LEN(A201)=2), 1,
IF(AND(A201=INT(A201), LEN(A201)=3), 2,
LEN(A201) - FIND(".", A201) + 2)
)
),
"")</f>
      </c>
      <c r="C201" s="7" t="s">
        <v>180</v>
      </c>
      <c r="D201" s="8">
        <f>REPT("   ", B201*2) &amp; C201</f>
      </c>
      <c r="E201" s="7" t="s">
        <v>35</v>
      </c>
      <c r="F201" s="7" t="s">
        <v>36</v>
      </c>
      <c r="G201" s="10">
        <v>1</v>
      </c>
      <c r="H201" s="9"/>
      <c r="I201" s="15"/>
      <c r="J201" s="14"/>
      <c r="K201" s="14"/>
      <c r="L201" s="15"/>
      <c r="M201" s="7"/>
      <c r="N201" s="20"/>
      <c r="O201" s="15"/>
      <c r="P201" s="14"/>
      <c r="Q201" s="14"/>
      <c r="R201" s="15"/>
      <c r="S201" s="7"/>
      <c r="T201" s="15"/>
      <c r="U201" s="15"/>
      <c r="V201" s="15"/>
      <c r="W201" s="4" t="s">
        <v>44</v>
      </c>
      <c r="X201" s="12">
        <f>0.8*$I201</f>
      </c>
      <c r="Y201" s="12">
        <f>2*J201</f>
      </c>
      <c r="Z201" s="4" t="s">
        <v>45</v>
      </c>
      <c r="AA201" s="11">
        <f>0.8*K201</f>
      </c>
      <c r="AB201" s="11">
        <f>2*K201</f>
      </c>
      <c r="AC201" s="4" t="s">
        <v>45</v>
      </c>
      <c r="AD201" s="13">
        <v>0.1</v>
      </c>
      <c r="AE201" s="11">
        <v>1</v>
      </c>
      <c r="AF201" s="11">
        <v>0</v>
      </c>
      <c r="AG201" s="4" t="s">
        <v>46</v>
      </c>
    </row>
    <row x14ac:dyDescent="0.25" r="202" customHeight="1" ht="15">
      <c r="A202" s="38">
        <v>249.5</v>
      </c>
      <c r="B202" s="6">
        <f>IF(ISNUMBER(A202),
IF(AND(A202=INT(A202), MOD(A202, 10) = 0), 0,
IF(AND(A202=INT(A202), LEN(A202)=2), 1,
IF(AND(A202=INT(A202), LEN(A202)=3), 2,
LEN(A202) - FIND(".", A202) + 2)
)
),
"")</f>
      </c>
      <c r="C202" s="7" t="s">
        <v>181</v>
      </c>
      <c r="D202" s="8">
        <f>REPT("   ", B202*2) &amp; C202</f>
      </c>
      <c r="E202" s="7" t="s">
        <v>35</v>
      </c>
      <c r="F202" s="7" t="s">
        <v>36</v>
      </c>
      <c r="G202" s="10">
        <v>1</v>
      </c>
      <c r="H202" s="9"/>
      <c r="I202" s="15"/>
      <c r="J202" s="14"/>
      <c r="K202" s="14"/>
      <c r="L202" s="15"/>
      <c r="M202" s="7"/>
      <c r="N202" s="20"/>
      <c r="O202" s="15"/>
      <c r="P202" s="14"/>
      <c r="Q202" s="14"/>
      <c r="R202" s="15"/>
      <c r="S202" s="7"/>
      <c r="T202" s="15"/>
      <c r="U202" s="15"/>
      <c r="V202" s="15"/>
      <c r="W202" s="4" t="s">
        <v>44</v>
      </c>
      <c r="X202" s="12">
        <f>0.8*$I202</f>
      </c>
      <c r="Y202" s="12">
        <f>2*J202</f>
      </c>
      <c r="Z202" s="4" t="s">
        <v>45</v>
      </c>
      <c r="AA202" s="11">
        <f>0.8*K202</f>
      </c>
      <c r="AB202" s="11">
        <f>2*K202</f>
      </c>
      <c r="AC202" s="4" t="s">
        <v>45</v>
      </c>
      <c r="AD202" s="13">
        <v>0.1</v>
      </c>
      <c r="AE202" s="11">
        <v>1</v>
      </c>
      <c r="AF202" s="11">
        <v>0</v>
      </c>
      <c r="AG202" s="4" t="s">
        <v>46</v>
      </c>
    </row>
    <row x14ac:dyDescent="0.25" r="203" customHeight="1" ht="15">
      <c r="A203" s="38">
        <v>249.6</v>
      </c>
      <c r="B203" s="6">
        <f>IF(ISNUMBER(A203),
IF(AND(A203=INT(A203), MOD(A203, 10) = 0), 0,
IF(AND(A203=INT(A203), LEN(A203)=2), 1,
IF(AND(A203=INT(A203), LEN(A203)=3), 2,
LEN(A203) - FIND(".", A203) + 2)
)
),
"")</f>
      </c>
      <c r="C203" s="7" t="s">
        <v>182</v>
      </c>
      <c r="D203" s="8">
        <f>REPT("   ", B203*2) &amp; C203</f>
      </c>
      <c r="E203" s="7" t="s">
        <v>35</v>
      </c>
      <c r="F203" s="7" t="s">
        <v>36</v>
      </c>
      <c r="G203" s="10">
        <v>1</v>
      </c>
      <c r="H203" s="9"/>
      <c r="I203" s="15"/>
      <c r="J203" s="14"/>
      <c r="K203" s="14"/>
      <c r="L203" s="15"/>
      <c r="M203" s="7"/>
      <c r="N203" s="20"/>
      <c r="O203" s="15"/>
      <c r="P203" s="14"/>
      <c r="Q203" s="14"/>
      <c r="R203" s="15"/>
      <c r="S203" s="7"/>
      <c r="T203" s="15"/>
      <c r="U203" s="15"/>
      <c r="V203" s="15"/>
      <c r="W203" s="4" t="s">
        <v>44</v>
      </c>
      <c r="X203" s="12">
        <f>0.8*$I203</f>
      </c>
      <c r="Y203" s="12">
        <f>2*J203</f>
      </c>
      <c r="Z203" s="4" t="s">
        <v>45</v>
      </c>
      <c r="AA203" s="11">
        <f>0.8*K203</f>
      </c>
      <c r="AB203" s="11">
        <f>2*K203</f>
      </c>
      <c r="AC203" s="4" t="s">
        <v>45</v>
      </c>
      <c r="AD203" s="13">
        <v>0.1</v>
      </c>
      <c r="AE203" s="11">
        <v>1</v>
      </c>
      <c r="AF203" s="11">
        <v>0</v>
      </c>
      <c r="AG203" s="4" t="s">
        <v>46</v>
      </c>
    </row>
    <row x14ac:dyDescent="0.25" r="204" customHeight="1" ht="25.5">
      <c r="A204" s="6">
        <v>25</v>
      </c>
      <c r="B204" s="6">
        <f>IF(ISNUMBER(A204),
IF(AND(A204=INT(A204), MOD(A204, 10) = 0), 0,
IF(AND(A204=INT(A204), LEN(A204)=2), 1,
IF(AND(A204=INT(A204), LEN(A204)=3), 2,
LEN(A204) - FIND(".", A204) + 2)
)
),
"")</f>
      </c>
      <c r="C204" s="7" t="s">
        <v>193</v>
      </c>
      <c r="D204" s="8">
        <f>REPT("   ", B204*2) &amp; C204</f>
      </c>
      <c r="E204" s="9"/>
      <c r="F204" s="9"/>
      <c r="G204" s="10"/>
      <c r="H204" s="9"/>
      <c r="I204" s="15"/>
      <c r="J204" s="14"/>
      <c r="K204" s="14"/>
      <c r="L204" s="15"/>
      <c r="M204" s="7"/>
      <c r="N204" s="20"/>
      <c r="O204" s="15"/>
      <c r="P204" s="14"/>
      <c r="Q204" s="14"/>
      <c r="R204" s="15"/>
      <c r="S204" s="7"/>
      <c r="T204" s="15"/>
      <c r="U204" s="15"/>
      <c r="V204" s="15"/>
      <c r="W204" s="4"/>
      <c r="X204" s="12"/>
      <c r="Y204" s="12"/>
      <c r="Z204" s="4"/>
      <c r="AA204" s="11"/>
      <c r="AB204" s="11"/>
      <c r="AC204" s="4"/>
      <c r="AD204" s="13"/>
      <c r="AE204" s="11"/>
      <c r="AF204" s="11"/>
      <c r="AG204" s="4"/>
    </row>
    <row x14ac:dyDescent="0.25" r="205" customHeight="1" ht="38.25">
      <c r="A205" s="6">
        <v>251</v>
      </c>
      <c r="B205" s="6">
        <f>IF(ISNUMBER(A205),
IF(AND(A205=INT(A205), MOD(A205, 10) = 0), 0,
IF(AND(A205=INT(A205), LEN(A205)=2), 1,
IF(AND(A205=INT(A205), LEN(A205)=3), 2,
LEN(A205) - FIND(".", A205) + 2)
)
),
"")</f>
      </c>
      <c r="C205" s="7" t="s">
        <v>159</v>
      </c>
      <c r="D205" s="8">
        <f>REPT("   ", B205*2) &amp; C205</f>
      </c>
      <c r="E205" s="7" t="s">
        <v>35</v>
      </c>
      <c r="F205" s="7" t="s">
        <v>36</v>
      </c>
      <c r="G205" s="10">
        <v>1</v>
      </c>
      <c r="H205" s="9"/>
      <c r="I205" s="15"/>
      <c r="J205" s="14"/>
      <c r="K205" s="14">
        <f>3330589.8/N205</f>
      </c>
      <c r="L205" s="15" t="s">
        <v>160</v>
      </c>
      <c r="M205" s="7" t="s">
        <v>194</v>
      </c>
      <c r="N205" s="14">
        <v>3417</v>
      </c>
      <c r="O205" s="15" t="s">
        <v>155</v>
      </c>
      <c r="P205" s="39">
        <v>0.8</v>
      </c>
      <c r="Q205" s="14">
        <v>2018</v>
      </c>
      <c r="R205" s="15" t="s">
        <v>86</v>
      </c>
      <c r="S205" s="7" t="s">
        <v>156</v>
      </c>
      <c r="T205" s="15"/>
      <c r="U205" s="15"/>
      <c r="V205" s="15"/>
      <c r="W205" s="4" t="s">
        <v>44</v>
      </c>
      <c r="X205" s="12">
        <f>0.8*$I205</f>
      </c>
      <c r="Y205" s="12">
        <f>2*J205</f>
      </c>
      <c r="Z205" s="4" t="s">
        <v>45</v>
      </c>
      <c r="AA205" s="13">
        <f>0.8*K205</f>
      </c>
      <c r="AB205" s="13">
        <f>2*K205</f>
      </c>
      <c r="AC205" s="4" t="s">
        <v>45</v>
      </c>
      <c r="AD205" s="13">
        <v>0.1</v>
      </c>
      <c r="AE205" s="11">
        <v>1</v>
      </c>
      <c r="AF205" s="11">
        <v>0</v>
      </c>
      <c r="AG205" s="4" t="s">
        <v>46</v>
      </c>
    </row>
    <row x14ac:dyDescent="0.25" r="206" customHeight="1" ht="38.25">
      <c r="A206" s="6">
        <v>252</v>
      </c>
      <c r="B206" s="6">
        <f>IF(ISNUMBER(A206),
IF(AND(A206=INT(A206), MOD(A206, 10) = 0), 0,
IF(AND(A206=INT(A206), LEN(A206)=2), 1,
IF(AND(A206=INT(A206), LEN(A206)=3), 2,
LEN(A206) - FIND(".", A206) + 2)
)
),
"")</f>
      </c>
      <c r="C206" s="7" t="s">
        <v>161</v>
      </c>
      <c r="D206" s="8">
        <f>REPT("   ", B206*2) &amp; C206</f>
      </c>
      <c r="E206" s="7" t="s">
        <v>35</v>
      </c>
      <c r="F206" s="7" t="s">
        <v>36</v>
      </c>
      <c r="G206" s="10">
        <v>1</v>
      </c>
      <c r="H206" s="9"/>
      <c r="I206" s="15"/>
      <c r="J206" s="14"/>
      <c r="K206" s="14">
        <f>33058834.16/N206</f>
      </c>
      <c r="L206" s="15" t="s">
        <v>160</v>
      </c>
      <c r="M206" s="7" t="s">
        <v>194</v>
      </c>
      <c r="N206" s="14">
        <v>3417</v>
      </c>
      <c r="O206" s="15" t="s">
        <v>155</v>
      </c>
      <c r="P206" s="39">
        <v>0.8</v>
      </c>
      <c r="Q206" s="14">
        <v>2018</v>
      </c>
      <c r="R206" s="15" t="s">
        <v>86</v>
      </c>
      <c r="S206" s="7" t="s">
        <v>156</v>
      </c>
      <c r="T206" s="15"/>
      <c r="U206" s="15"/>
      <c r="V206" s="15"/>
      <c r="W206" s="4" t="s">
        <v>44</v>
      </c>
      <c r="X206" s="12">
        <f>0.8*$I206</f>
      </c>
      <c r="Y206" s="12">
        <f>2*J206</f>
      </c>
      <c r="Z206" s="4" t="s">
        <v>45</v>
      </c>
      <c r="AA206" s="13">
        <f>0.8*K206</f>
      </c>
      <c r="AB206" s="13">
        <f>2*K206</f>
      </c>
      <c r="AC206" s="4" t="s">
        <v>45</v>
      </c>
      <c r="AD206" s="13">
        <v>0.1</v>
      </c>
      <c r="AE206" s="11">
        <v>1</v>
      </c>
      <c r="AF206" s="11">
        <v>0</v>
      </c>
      <c r="AG206" s="4" t="s">
        <v>46</v>
      </c>
    </row>
    <row x14ac:dyDescent="0.25" r="207" customHeight="1" ht="38.25">
      <c r="A207" s="6">
        <v>253</v>
      </c>
      <c r="B207" s="6">
        <f>IF(ISNUMBER(A207),
IF(AND(A207=INT(A207), MOD(A207, 10) = 0), 0,
IF(AND(A207=INT(A207), LEN(A207)=2), 1,
IF(AND(A207=INT(A207), LEN(A207)=3), 2,
LEN(A207) - FIND(".", A207) + 2)
)
),
"")</f>
      </c>
      <c r="C207" s="7" t="s">
        <v>162</v>
      </c>
      <c r="D207" s="8">
        <f>REPT("   ", B207*2) &amp; C207</f>
      </c>
      <c r="E207" s="7" t="s">
        <v>35</v>
      </c>
      <c r="F207" s="7" t="s">
        <v>36</v>
      </c>
      <c r="G207" s="10">
        <v>1</v>
      </c>
      <c r="H207" s="9"/>
      <c r="I207" s="15"/>
      <c r="J207" s="14"/>
      <c r="K207" s="14">
        <f>15805121.88/N207</f>
      </c>
      <c r="L207" s="15" t="s">
        <v>160</v>
      </c>
      <c r="M207" s="7" t="s">
        <v>194</v>
      </c>
      <c r="N207" s="14">
        <v>3417</v>
      </c>
      <c r="O207" s="15" t="s">
        <v>155</v>
      </c>
      <c r="P207" s="39">
        <v>0.8</v>
      </c>
      <c r="Q207" s="14">
        <v>2018</v>
      </c>
      <c r="R207" s="15" t="s">
        <v>86</v>
      </c>
      <c r="S207" s="7" t="s">
        <v>156</v>
      </c>
      <c r="T207" s="15"/>
      <c r="U207" s="15"/>
      <c r="V207" s="15"/>
      <c r="W207" s="4" t="s">
        <v>44</v>
      </c>
      <c r="X207" s="12">
        <f>0.8*$I207</f>
      </c>
      <c r="Y207" s="12">
        <f>2*J207</f>
      </c>
      <c r="Z207" s="4" t="s">
        <v>45</v>
      </c>
      <c r="AA207" s="13">
        <f>0.8*K207</f>
      </c>
      <c r="AB207" s="13">
        <f>2*K207</f>
      </c>
      <c r="AC207" s="4" t="s">
        <v>45</v>
      </c>
      <c r="AD207" s="13">
        <v>0.1</v>
      </c>
      <c r="AE207" s="11">
        <v>1</v>
      </c>
      <c r="AF207" s="11">
        <v>0</v>
      </c>
      <c r="AG207" s="4" t="s">
        <v>46</v>
      </c>
    </row>
    <row x14ac:dyDescent="0.25" r="208" customHeight="1" ht="15">
      <c r="A208" s="20">
        <v>254</v>
      </c>
      <c r="B208" s="6">
        <v>2</v>
      </c>
      <c r="C208" s="7" t="s">
        <v>151</v>
      </c>
      <c r="D208" s="8">
        <f>REPT("   ", B208*2) &amp; C208</f>
      </c>
      <c r="E208" s="9"/>
      <c r="F208" s="9"/>
      <c r="G208" s="10"/>
      <c r="H208" s="9"/>
      <c r="I208" s="15"/>
      <c r="J208" s="14"/>
      <c r="K208" s="14"/>
      <c r="L208" s="15"/>
      <c r="M208" s="7"/>
      <c r="N208" s="20"/>
      <c r="O208" s="15"/>
      <c r="P208" s="14"/>
      <c r="Q208" s="14"/>
      <c r="R208" s="15"/>
      <c r="S208" s="7"/>
      <c r="T208" s="15"/>
      <c r="U208" s="15"/>
      <c r="V208" s="15"/>
      <c r="W208" s="4"/>
      <c r="X208" s="12"/>
      <c r="Y208" s="12"/>
      <c r="Z208" s="4"/>
      <c r="AA208" s="11"/>
      <c r="AB208" s="11"/>
      <c r="AC208" s="4"/>
      <c r="AD208" s="13"/>
      <c r="AE208" s="11"/>
      <c r="AF208" s="11"/>
      <c r="AG208" s="4"/>
    </row>
    <row x14ac:dyDescent="0.25" r="209" customHeight="1" ht="15">
      <c r="A209" s="23">
        <v>254.1</v>
      </c>
      <c r="B209" s="6">
        <v>3</v>
      </c>
      <c r="C209" s="7" t="s">
        <v>152</v>
      </c>
      <c r="D209" s="8">
        <f>REPT("   ", B209*2) &amp; C209</f>
      </c>
      <c r="E209" s="7" t="s">
        <v>35</v>
      </c>
      <c r="F209" s="7" t="s">
        <v>36</v>
      </c>
      <c r="G209" s="10">
        <v>1</v>
      </c>
      <c r="H209" s="9"/>
      <c r="I209" s="15"/>
      <c r="J209" s="14"/>
      <c r="K209" s="14"/>
      <c r="L209" s="15"/>
      <c r="M209" s="7"/>
      <c r="N209" s="20"/>
      <c r="O209" s="15"/>
      <c r="P209" s="14"/>
      <c r="Q209" s="14"/>
      <c r="R209" s="15"/>
      <c r="S209" s="7"/>
      <c r="T209" s="15"/>
      <c r="U209" s="15"/>
      <c r="V209" s="15"/>
      <c r="W209" s="4" t="s">
        <v>44</v>
      </c>
      <c r="X209" s="12">
        <f>0.8*$I209</f>
      </c>
      <c r="Y209" s="12">
        <f>2*J209</f>
      </c>
      <c r="Z209" s="4" t="s">
        <v>45</v>
      </c>
      <c r="AA209" s="11">
        <f>0.8*K209</f>
      </c>
      <c r="AB209" s="11">
        <f>2*K209</f>
      </c>
      <c r="AC209" s="4" t="s">
        <v>45</v>
      </c>
      <c r="AD209" s="13">
        <v>0.1</v>
      </c>
      <c r="AE209" s="11">
        <v>1</v>
      </c>
      <c r="AF209" s="11">
        <v>0</v>
      </c>
      <c r="AG209" s="4" t="s">
        <v>46</v>
      </c>
    </row>
    <row x14ac:dyDescent="0.25" r="210" customHeight="1" ht="38.25">
      <c r="A210" s="23">
        <v>254.2</v>
      </c>
      <c r="B210" s="6">
        <v>3</v>
      </c>
      <c r="C210" s="7" t="s">
        <v>153</v>
      </c>
      <c r="D210" s="8">
        <f>REPT("   ", B210*2) &amp; C210</f>
      </c>
      <c r="E210" s="7" t="s">
        <v>35</v>
      </c>
      <c r="F210" s="7" t="s">
        <v>36</v>
      </c>
      <c r="G210" s="10">
        <v>1</v>
      </c>
      <c r="H210" s="9"/>
      <c r="I210" s="15"/>
      <c r="J210" s="14"/>
      <c r="K210" s="14">
        <f>111284601/N210</f>
      </c>
      <c r="L210" s="15"/>
      <c r="M210" s="7" t="s">
        <v>154</v>
      </c>
      <c r="N210" s="14">
        <v>3417</v>
      </c>
      <c r="O210" s="15" t="s">
        <v>155</v>
      </c>
      <c r="P210" s="39">
        <v>0.8</v>
      </c>
      <c r="Q210" s="14">
        <v>2018</v>
      </c>
      <c r="R210" s="15" t="s">
        <v>86</v>
      </c>
      <c r="S210" s="7" t="s">
        <v>156</v>
      </c>
      <c r="T210" s="15"/>
      <c r="U210" s="15"/>
      <c r="V210" s="15" t="s">
        <v>157</v>
      </c>
      <c r="W210" s="4" t="s">
        <v>44</v>
      </c>
      <c r="X210" s="12">
        <f>0.8*$I210</f>
      </c>
      <c r="Y210" s="12">
        <f>2*J210</f>
      </c>
      <c r="Z210" s="4" t="s">
        <v>45</v>
      </c>
      <c r="AA210" s="13">
        <f>0.8*K210</f>
      </c>
      <c r="AB210" s="13">
        <f>2*K210</f>
      </c>
      <c r="AC210" s="4" t="s">
        <v>45</v>
      </c>
      <c r="AD210" s="13">
        <v>0.1</v>
      </c>
      <c r="AE210" s="11">
        <v>1</v>
      </c>
      <c r="AF210" s="11">
        <v>0</v>
      </c>
      <c r="AG210" s="4" t="s">
        <v>46</v>
      </c>
    </row>
    <row x14ac:dyDescent="0.25" r="211" customHeight="1" ht="39">
      <c r="A211" s="23">
        <v>254.3</v>
      </c>
      <c r="B211" s="6">
        <f>IF(ISNUMBER(A211),
IF(AND(A211=INT(A211), MOD(A211, 10) = 0), 0,
IF(AND(A211=INT(A211), LEN(A211)=2), 1,
IF(AND(A211=INT(A211), LEN(A211)=3), 2,
LEN(A211) - FIND(".", A211) + 2)
)
),
"")</f>
      </c>
      <c r="C211" s="7" t="s">
        <v>163</v>
      </c>
      <c r="D211" s="8">
        <f>REPT("   ", B211*2) &amp; C211</f>
      </c>
      <c r="E211" s="7" t="s">
        <v>35</v>
      </c>
      <c r="F211" s="7" t="s">
        <v>36</v>
      </c>
      <c r="G211" s="10">
        <v>1</v>
      </c>
      <c r="H211" s="9"/>
      <c r="I211" s="15"/>
      <c r="J211" s="14"/>
      <c r="K211" s="14">
        <f>8275000/N211</f>
      </c>
      <c r="L211" s="15" t="s">
        <v>74</v>
      </c>
      <c r="M211" s="7" t="s">
        <v>118</v>
      </c>
      <c r="N211" s="39">
        <v>201049.28</v>
      </c>
      <c r="O211" s="15" t="s">
        <v>76</v>
      </c>
      <c r="P211" s="39">
        <v>0.6</v>
      </c>
      <c r="Q211" s="14">
        <v>1978</v>
      </c>
      <c r="R211" s="15" t="s">
        <v>86</v>
      </c>
      <c r="S211" s="7"/>
      <c r="T211" s="15" t="s">
        <v>165</v>
      </c>
      <c r="U211" s="25" t="s">
        <v>166</v>
      </c>
      <c r="V211" s="15" t="s">
        <v>167</v>
      </c>
      <c r="W211" s="4" t="s">
        <v>44</v>
      </c>
      <c r="X211" s="12">
        <f>0.8*$I211</f>
      </c>
      <c r="Y211" s="12">
        <f>2*J211</f>
      </c>
      <c r="Z211" s="4" t="s">
        <v>45</v>
      </c>
      <c r="AA211" s="13">
        <f>0.8*K211</f>
      </c>
      <c r="AB211" s="13">
        <f>2*K211</f>
      </c>
      <c r="AC211" s="4" t="s">
        <v>45</v>
      </c>
      <c r="AD211" s="13">
        <v>0.1</v>
      </c>
      <c r="AE211" s="11">
        <v>1</v>
      </c>
      <c r="AF211" s="11">
        <v>0</v>
      </c>
      <c r="AG211" s="4" t="s">
        <v>46</v>
      </c>
    </row>
    <row x14ac:dyDescent="0.25" r="212" customHeight="1" ht="15">
      <c r="A212" s="23">
        <v>254.4</v>
      </c>
      <c r="B212" s="6">
        <f>IF(ISNUMBER(A212),
IF(AND(A212=INT(A212), MOD(A212, 10) = 0), 0,
IF(AND(A212=INT(A212), LEN(A212)=2), 1,
IF(AND(A212=INT(A212), LEN(A212)=3), 2,
LEN(A212) - FIND(".", A212) + 2)
)
),
"")</f>
      </c>
      <c r="C212" s="7" t="s">
        <v>144</v>
      </c>
      <c r="D212" s="8">
        <f>REPT("   ", B212*2) &amp; C212</f>
      </c>
      <c r="E212" s="7" t="s">
        <v>35</v>
      </c>
      <c r="F212" s="7" t="s">
        <v>36</v>
      </c>
      <c r="G212" s="10">
        <v>1</v>
      </c>
      <c r="H212" s="9"/>
      <c r="I212" s="15"/>
      <c r="J212" s="14"/>
      <c r="K212" s="14"/>
      <c r="L212" s="15"/>
      <c r="M212" s="7"/>
      <c r="N212" s="20"/>
      <c r="O212" s="15"/>
      <c r="P212" s="14"/>
      <c r="Q212" s="14"/>
      <c r="R212" s="15"/>
      <c r="S212" s="7"/>
      <c r="T212" s="15"/>
      <c r="U212" s="25"/>
      <c r="V212" s="15"/>
      <c r="W212" s="4" t="s">
        <v>44</v>
      </c>
      <c r="X212" s="12">
        <f>0.8*$I212</f>
      </c>
      <c r="Y212" s="12">
        <f>2*J212</f>
      </c>
      <c r="Z212" s="4" t="s">
        <v>45</v>
      </c>
      <c r="AA212" s="11">
        <f>0.8*K212</f>
      </c>
      <c r="AB212" s="11">
        <f>2*K212</f>
      </c>
      <c r="AC212" s="4" t="s">
        <v>45</v>
      </c>
      <c r="AD212" s="13">
        <v>0.1</v>
      </c>
      <c r="AE212" s="11">
        <v>1</v>
      </c>
      <c r="AF212" s="11">
        <v>0</v>
      </c>
      <c r="AG212" s="4" t="s">
        <v>46</v>
      </c>
    </row>
    <row x14ac:dyDescent="0.25" r="213" customHeight="1" ht="26.25">
      <c r="A213" s="6">
        <v>255</v>
      </c>
      <c r="B213" s="6">
        <f>IF(ISNUMBER(A213),
IF(AND(A213=INT(A213), MOD(A213, 10) = 0), 0,
IF(AND(A213=INT(A213), LEN(A213)=2), 1,
IF(AND(A213=INT(A213), LEN(A213)=3), 2,
LEN(A213) - FIND(".", A213) + 2)
)
),
"")</f>
      </c>
      <c r="C213" s="7" t="s">
        <v>195</v>
      </c>
      <c r="D213" s="8">
        <f>REPT("   ", B213*2) &amp; C213</f>
      </c>
      <c r="E213" s="9"/>
      <c r="F213" s="9"/>
      <c r="G213" s="10"/>
      <c r="H213" s="9"/>
      <c r="I213" s="15"/>
      <c r="J213" s="14"/>
      <c r="K213" s="14"/>
      <c r="L213" s="15"/>
      <c r="M213" s="7"/>
      <c r="N213" s="20"/>
      <c r="O213" s="15"/>
      <c r="P213" s="14"/>
      <c r="Q213" s="14"/>
      <c r="R213" s="15"/>
      <c r="S213" s="7"/>
      <c r="T213" s="15"/>
      <c r="U213" s="25"/>
      <c r="V213" s="15"/>
      <c r="W213" s="4"/>
      <c r="X213" s="12"/>
      <c r="Y213" s="12"/>
      <c r="Z213" s="4"/>
      <c r="AA213" s="11"/>
      <c r="AB213" s="11"/>
      <c r="AC213" s="4"/>
      <c r="AD213" s="13"/>
      <c r="AE213" s="11"/>
      <c r="AF213" s="11"/>
      <c r="AG213" s="4"/>
    </row>
    <row x14ac:dyDescent="0.25" r="214" customHeight="1" ht="26.25">
      <c r="A214" s="38">
        <v>255.1</v>
      </c>
      <c r="B214" s="6">
        <f>IF(ISNUMBER(A214),
IF(AND(A214=INT(A214), MOD(A214, 10) = 0), 0,
IF(AND(A214=INT(A214), LEN(A214)=2), 1,
IF(AND(A214=INT(A214), LEN(A214)=3), 2,
LEN(A214) - FIND(".", A214) + 2)
)
),
"")</f>
      </c>
      <c r="C214" s="7" t="s">
        <v>173</v>
      </c>
      <c r="D214" s="8">
        <f>REPT("   ", B214*2) &amp; C214</f>
      </c>
      <c r="E214" s="7" t="s">
        <v>35</v>
      </c>
      <c r="F214" s="7" t="s">
        <v>132</v>
      </c>
      <c r="G214" s="10">
        <v>1</v>
      </c>
      <c r="H214" s="9"/>
      <c r="I214" s="15"/>
      <c r="J214" s="14"/>
      <c r="K214" s="14"/>
      <c r="L214" s="15"/>
      <c r="M214" s="7"/>
      <c r="N214" s="20"/>
      <c r="O214" s="15"/>
      <c r="P214" s="14"/>
      <c r="Q214" s="14"/>
      <c r="R214" s="15"/>
      <c r="S214" s="7"/>
      <c r="T214" s="15"/>
      <c r="U214" s="25"/>
      <c r="V214" s="15"/>
      <c r="W214" s="4" t="s">
        <v>44</v>
      </c>
      <c r="X214" s="12">
        <f>0.8*$I214</f>
      </c>
      <c r="Y214" s="12">
        <f>2*J214</f>
      </c>
      <c r="Z214" s="4" t="s">
        <v>45</v>
      </c>
      <c r="AA214" s="11">
        <f>0.8*K214</f>
      </c>
      <c r="AB214" s="11">
        <f>2*K214</f>
      </c>
      <c r="AC214" s="4" t="s">
        <v>45</v>
      </c>
      <c r="AD214" s="13">
        <v>0.1</v>
      </c>
      <c r="AE214" s="11">
        <v>1</v>
      </c>
      <c r="AF214" s="11">
        <v>0</v>
      </c>
      <c r="AG214" s="4" t="s">
        <v>46</v>
      </c>
    </row>
    <row x14ac:dyDescent="0.25" r="215" customHeight="1" ht="26.25">
      <c r="A215" s="38">
        <v>255.2</v>
      </c>
      <c r="B215" s="6">
        <f>IF(ISNUMBER(A215),
IF(AND(A215=INT(A215), MOD(A215, 10) = 0), 0,
IF(AND(A215=INT(A215), LEN(A215)=2), 1,
IF(AND(A215=INT(A215), LEN(A215)=3), 2,
LEN(A215) - FIND(".", A215) + 2)
)
),
"")</f>
      </c>
      <c r="C215" s="7" t="s">
        <v>174</v>
      </c>
      <c r="D215" s="8">
        <f>REPT("   ", B215*2) &amp; C215</f>
      </c>
      <c r="E215" s="7" t="s">
        <v>35</v>
      </c>
      <c r="F215" s="7" t="s">
        <v>132</v>
      </c>
      <c r="G215" s="10">
        <v>0.1</v>
      </c>
      <c r="H215" s="9"/>
      <c r="I215" s="15"/>
      <c r="J215" s="14"/>
      <c r="K215" s="14"/>
      <c r="L215" s="15"/>
      <c r="M215" s="7"/>
      <c r="N215" s="20"/>
      <c r="O215" s="15"/>
      <c r="P215" s="14"/>
      <c r="Q215" s="14"/>
      <c r="R215" s="15"/>
      <c r="S215" s="7"/>
      <c r="T215" s="15"/>
      <c r="U215" s="25"/>
      <c r="V215" s="15"/>
      <c r="W215" s="4" t="s">
        <v>44</v>
      </c>
      <c r="X215" s="12">
        <f>0.8*$I215</f>
      </c>
      <c r="Y215" s="12">
        <f>2*J215</f>
      </c>
      <c r="Z215" s="4" t="s">
        <v>45</v>
      </c>
      <c r="AA215" s="11">
        <f>0.8*K215</f>
      </c>
      <c r="AB215" s="11">
        <f>2*K215</f>
      </c>
      <c r="AC215" s="4" t="s">
        <v>45</v>
      </c>
      <c r="AD215" s="13">
        <v>0.1</v>
      </c>
      <c r="AE215" s="11">
        <v>1</v>
      </c>
      <c r="AF215" s="11">
        <v>0</v>
      </c>
      <c r="AG215" s="4" t="s">
        <v>46</v>
      </c>
    </row>
    <row x14ac:dyDescent="0.25" r="216" customHeight="1" ht="26.25">
      <c r="A216" s="38">
        <v>255.3</v>
      </c>
      <c r="B216" s="6">
        <f>IF(ISNUMBER(A216),
IF(AND(A216=INT(A216), MOD(A216, 10) = 0), 0,
IF(AND(A216=INT(A216), LEN(A216)=2), 1,
IF(AND(A216=INT(A216), LEN(A216)=3), 2,
LEN(A216) - FIND(".", A216) + 2)
)
),
"")</f>
      </c>
      <c r="C216" s="7" t="s">
        <v>175</v>
      </c>
      <c r="D216" s="8">
        <f>REPT("   ", B216*2) &amp; C216</f>
      </c>
      <c r="E216" s="7" t="s">
        <v>35</v>
      </c>
      <c r="F216" s="7" t="s">
        <v>132</v>
      </c>
      <c r="G216" s="10">
        <v>0.1</v>
      </c>
      <c r="H216" s="9"/>
      <c r="I216" s="15"/>
      <c r="J216" s="14"/>
      <c r="K216" s="14"/>
      <c r="L216" s="15"/>
      <c r="M216" s="7"/>
      <c r="N216" s="20"/>
      <c r="O216" s="15"/>
      <c r="P216" s="14"/>
      <c r="Q216" s="14"/>
      <c r="R216" s="15"/>
      <c r="S216" s="7"/>
      <c r="T216" s="15"/>
      <c r="U216" s="25"/>
      <c r="V216" s="15"/>
      <c r="W216" s="4" t="s">
        <v>44</v>
      </c>
      <c r="X216" s="12">
        <f>0.8*$I216</f>
      </c>
      <c r="Y216" s="12">
        <f>2*J216</f>
      </c>
      <c r="Z216" s="4" t="s">
        <v>45</v>
      </c>
      <c r="AA216" s="11">
        <f>0.8*K216</f>
      </c>
      <c r="AB216" s="11">
        <f>2*K216</f>
      </c>
      <c r="AC216" s="4" t="s">
        <v>45</v>
      </c>
      <c r="AD216" s="13">
        <v>0.1</v>
      </c>
      <c r="AE216" s="11">
        <v>1</v>
      </c>
      <c r="AF216" s="11">
        <v>0</v>
      </c>
      <c r="AG216" s="4" t="s">
        <v>46</v>
      </c>
    </row>
    <row x14ac:dyDescent="0.25" r="217" customHeight="1" ht="15">
      <c r="A217" s="6">
        <v>259</v>
      </c>
      <c r="B217" s="6">
        <f>IF(ISNUMBER(A217),
IF(AND(A217=INT(A217), MOD(A217, 10) = 0), 0,
IF(AND(A217=INT(A217), LEN(A217)=2), 1,
IF(AND(A217=INT(A217), LEN(A217)=3), 2,
LEN(A217) - FIND(".", A217) + 2)
)
),
"")</f>
      </c>
      <c r="C217" s="7" t="s">
        <v>176</v>
      </c>
      <c r="D217" s="8">
        <f>REPT("   ", B217*2) &amp; C217</f>
      </c>
      <c r="E217" s="9"/>
      <c r="F217" s="9"/>
      <c r="G217" s="10"/>
      <c r="H217" s="9"/>
      <c r="I217" s="15"/>
      <c r="J217" s="14"/>
      <c r="K217" s="14"/>
      <c r="L217" s="15"/>
      <c r="M217" s="7"/>
      <c r="N217" s="20"/>
      <c r="O217" s="15"/>
      <c r="P217" s="14"/>
      <c r="Q217" s="14"/>
      <c r="R217" s="15"/>
      <c r="S217" s="7"/>
      <c r="T217" s="15"/>
      <c r="U217" s="15"/>
      <c r="V217" s="15"/>
      <c r="W217" s="4"/>
      <c r="X217" s="12"/>
      <c r="Y217" s="12"/>
      <c r="Z217" s="4"/>
      <c r="AA217" s="11"/>
      <c r="AB217" s="11"/>
      <c r="AC217" s="4"/>
      <c r="AD217" s="13"/>
      <c r="AE217" s="11"/>
      <c r="AF217" s="11"/>
      <c r="AG217" s="4"/>
    </row>
    <row x14ac:dyDescent="0.25" r="218" customHeight="1" ht="15">
      <c r="A218" s="38">
        <v>259.1</v>
      </c>
      <c r="B218" s="6">
        <f>IF(ISNUMBER(A218),
IF(AND(A218=INT(A218), MOD(A218, 10) = 0), 0,
IF(AND(A218=INT(A218), LEN(A218)=2), 1,
IF(AND(A218=INT(A218), LEN(A218)=3), 2,
LEN(A218) - FIND(".", A218) + 2)
)
),
"")</f>
      </c>
      <c r="C218" s="7" t="s">
        <v>177</v>
      </c>
      <c r="D218" s="8">
        <f>REPT("   ", B218*2) &amp; C218</f>
      </c>
      <c r="E218" s="7" t="s">
        <v>35</v>
      </c>
      <c r="F218" s="7" t="s">
        <v>36</v>
      </c>
      <c r="G218" s="10">
        <v>1</v>
      </c>
      <c r="H218" s="9"/>
      <c r="I218" s="15"/>
      <c r="J218" s="14"/>
      <c r="K218" s="14"/>
      <c r="L218" s="15"/>
      <c r="M218" s="7"/>
      <c r="N218" s="20"/>
      <c r="O218" s="15"/>
      <c r="P218" s="14"/>
      <c r="Q218" s="14"/>
      <c r="R218" s="15"/>
      <c r="S218" s="7"/>
      <c r="T218" s="15"/>
      <c r="U218" s="15"/>
      <c r="V218" s="15"/>
      <c r="W218" s="4" t="s">
        <v>44</v>
      </c>
      <c r="X218" s="12">
        <f>0.8*$I218</f>
      </c>
      <c r="Y218" s="12">
        <f>2*J218</f>
      </c>
      <c r="Z218" s="4" t="s">
        <v>45</v>
      </c>
      <c r="AA218" s="11">
        <f>0.8*K218</f>
      </c>
      <c r="AB218" s="11">
        <f>2*K218</f>
      </c>
      <c r="AC218" s="4" t="s">
        <v>45</v>
      </c>
      <c r="AD218" s="13">
        <v>0.1</v>
      </c>
      <c r="AE218" s="11">
        <v>1</v>
      </c>
      <c r="AF218" s="11">
        <v>0</v>
      </c>
      <c r="AG218" s="4" t="s">
        <v>46</v>
      </c>
    </row>
    <row x14ac:dyDescent="0.25" r="219" customHeight="1" ht="15">
      <c r="A219" s="38">
        <v>259.2</v>
      </c>
      <c r="B219" s="6">
        <f>IF(ISNUMBER(A219),
IF(AND(A219=INT(A219), MOD(A219, 10) = 0), 0,
IF(AND(A219=INT(A219), LEN(A219)=2), 1,
IF(AND(A219=INT(A219), LEN(A219)=3), 2,
LEN(A219) - FIND(".", A219) + 2)
)
),
"")</f>
      </c>
      <c r="C219" s="7" t="s">
        <v>178</v>
      </c>
      <c r="D219" s="8">
        <f>REPT("   ", B219*2) &amp; C219</f>
      </c>
      <c r="E219" s="7" t="s">
        <v>35</v>
      </c>
      <c r="F219" s="7" t="s">
        <v>36</v>
      </c>
      <c r="G219" s="10">
        <v>1</v>
      </c>
      <c r="H219" s="9"/>
      <c r="I219" s="15"/>
      <c r="J219" s="14"/>
      <c r="K219" s="14"/>
      <c r="L219" s="15"/>
      <c r="M219" s="7"/>
      <c r="N219" s="20"/>
      <c r="O219" s="15"/>
      <c r="P219" s="14"/>
      <c r="Q219" s="14"/>
      <c r="R219" s="15"/>
      <c r="S219" s="7"/>
      <c r="T219" s="15"/>
      <c r="U219" s="15"/>
      <c r="V219" s="15"/>
      <c r="W219" s="4" t="s">
        <v>44</v>
      </c>
      <c r="X219" s="12">
        <f>0.8*$I219</f>
      </c>
      <c r="Y219" s="12">
        <f>2*J219</f>
      </c>
      <c r="Z219" s="4" t="s">
        <v>45</v>
      </c>
      <c r="AA219" s="11">
        <f>0.8*K219</f>
      </c>
      <c r="AB219" s="11">
        <f>2*K219</f>
      </c>
      <c r="AC219" s="4" t="s">
        <v>45</v>
      </c>
      <c r="AD219" s="13">
        <v>0.1</v>
      </c>
      <c r="AE219" s="11">
        <v>1</v>
      </c>
      <c r="AF219" s="11">
        <v>0</v>
      </c>
      <c r="AG219" s="4" t="s">
        <v>46</v>
      </c>
    </row>
    <row x14ac:dyDescent="0.25" r="220" customHeight="1" ht="15">
      <c r="A220" s="38">
        <v>259.3</v>
      </c>
      <c r="B220" s="6">
        <f>IF(ISNUMBER(A220),
IF(AND(A220=INT(A220), MOD(A220, 10) = 0), 0,
IF(AND(A220=INT(A220), LEN(A220)=2), 1,
IF(AND(A220=INT(A220), LEN(A220)=3), 2,
LEN(A220) - FIND(".", A220) + 2)
)
),
"")</f>
      </c>
      <c r="C220" s="7" t="s">
        <v>179</v>
      </c>
      <c r="D220" s="8">
        <f>REPT("   ", B220*2) &amp; C220</f>
      </c>
      <c r="E220" s="7" t="s">
        <v>35</v>
      </c>
      <c r="F220" s="7" t="s">
        <v>36</v>
      </c>
      <c r="G220" s="10">
        <v>1</v>
      </c>
      <c r="H220" s="9"/>
      <c r="I220" s="15"/>
      <c r="J220" s="14"/>
      <c r="K220" s="14"/>
      <c r="L220" s="15"/>
      <c r="M220" s="7"/>
      <c r="N220" s="20"/>
      <c r="O220" s="15"/>
      <c r="P220" s="14"/>
      <c r="Q220" s="14"/>
      <c r="R220" s="15"/>
      <c r="S220" s="7"/>
      <c r="T220" s="15"/>
      <c r="U220" s="15"/>
      <c r="V220" s="15"/>
      <c r="W220" s="4" t="s">
        <v>44</v>
      </c>
      <c r="X220" s="12">
        <f>0.8*$I220</f>
      </c>
      <c r="Y220" s="12">
        <f>2*J220</f>
      </c>
      <c r="Z220" s="4" t="s">
        <v>45</v>
      </c>
      <c r="AA220" s="11">
        <f>0.8*K220</f>
      </c>
      <c r="AB220" s="11">
        <f>2*K220</f>
      </c>
      <c r="AC220" s="4" t="s">
        <v>45</v>
      </c>
      <c r="AD220" s="13">
        <v>0.1</v>
      </c>
      <c r="AE220" s="11">
        <v>1</v>
      </c>
      <c r="AF220" s="11">
        <v>0</v>
      </c>
      <c r="AG220" s="4" t="s">
        <v>46</v>
      </c>
    </row>
    <row x14ac:dyDescent="0.25" r="221" customHeight="1" ht="15">
      <c r="A221" s="38">
        <v>259.4</v>
      </c>
      <c r="B221" s="6">
        <f>IF(ISNUMBER(A221),
IF(AND(A221=INT(A221), MOD(A221, 10) = 0), 0,
IF(AND(A221=INT(A221), LEN(A221)=2), 1,
IF(AND(A221=INT(A221), LEN(A221)=3), 2,
LEN(A221) - FIND(".", A221) + 2)
)
),
"")</f>
      </c>
      <c r="C221" s="7" t="s">
        <v>180</v>
      </c>
      <c r="D221" s="8">
        <f>REPT("   ", B221*2) &amp; C221</f>
      </c>
      <c r="E221" s="7" t="s">
        <v>35</v>
      </c>
      <c r="F221" s="7" t="s">
        <v>36</v>
      </c>
      <c r="G221" s="10">
        <v>1</v>
      </c>
      <c r="H221" s="9"/>
      <c r="I221" s="15"/>
      <c r="J221" s="14"/>
      <c r="K221" s="14"/>
      <c r="L221" s="15"/>
      <c r="M221" s="7"/>
      <c r="N221" s="20"/>
      <c r="O221" s="15"/>
      <c r="P221" s="14"/>
      <c r="Q221" s="14"/>
      <c r="R221" s="15"/>
      <c r="S221" s="7"/>
      <c r="T221" s="15"/>
      <c r="U221" s="15"/>
      <c r="V221" s="15"/>
      <c r="W221" s="4" t="s">
        <v>44</v>
      </c>
      <c r="X221" s="12">
        <f>0.8*$I221</f>
      </c>
      <c r="Y221" s="12">
        <f>2*J221</f>
      </c>
      <c r="Z221" s="4" t="s">
        <v>45</v>
      </c>
      <c r="AA221" s="11">
        <f>0.8*K221</f>
      </c>
      <c r="AB221" s="11">
        <f>2*K221</f>
      </c>
      <c r="AC221" s="4" t="s">
        <v>45</v>
      </c>
      <c r="AD221" s="13">
        <v>0.1</v>
      </c>
      <c r="AE221" s="11">
        <v>1</v>
      </c>
      <c r="AF221" s="11">
        <v>0</v>
      </c>
      <c r="AG221" s="4" t="s">
        <v>46</v>
      </c>
    </row>
    <row x14ac:dyDescent="0.25" r="222" customHeight="1" ht="15">
      <c r="A222" s="38">
        <v>259.5</v>
      </c>
      <c r="B222" s="6">
        <f>IF(ISNUMBER(A222),
IF(AND(A222=INT(A222), MOD(A222, 10) = 0), 0,
IF(AND(A222=INT(A222), LEN(A222)=2), 1,
IF(AND(A222=INT(A222), LEN(A222)=3), 2,
LEN(A222) - FIND(".", A222) + 2)
)
),
"")</f>
      </c>
      <c r="C222" s="7" t="s">
        <v>181</v>
      </c>
      <c r="D222" s="8">
        <f>REPT("   ", B222*2) &amp; C222</f>
      </c>
      <c r="E222" s="7" t="s">
        <v>35</v>
      </c>
      <c r="F222" s="7" t="s">
        <v>36</v>
      </c>
      <c r="G222" s="10">
        <v>1</v>
      </c>
      <c r="H222" s="9"/>
      <c r="I222" s="15"/>
      <c r="J222" s="14"/>
      <c r="K222" s="14"/>
      <c r="L222" s="15"/>
      <c r="M222" s="7"/>
      <c r="N222" s="20"/>
      <c r="O222" s="15"/>
      <c r="P222" s="14"/>
      <c r="Q222" s="14"/>
      <c r="R222" s="15"/>
      <c r="S222" s="7"/>
      <c r="T222" s="15"/>
      <c r="U222" s="15"/>
      <c r="V222" s="15"/>
      <c r="W222" s="4" t="s">
        <v>44</v>
      </c>
      <c r="X222" s="12">
        <f>0.8*$I222</f>
      </c>
      <c r="Y222" s="12">
        <f>2*J222</f>
      </c>
      <c r="Z222" s="4" t="s">
        <v>45</v>
      </c>
      <c r="AA222" s="11">
        <f>0.8*K222</f>
      </c>
      <c r="AB222" s="11">
        <f>2*K222</f>
      </c>
      <c r="AC222" s="4" t="s">
        <v>45</v>
      </c>
      <c r="AD222" s="13">
        <v>0.1</v>
      </c>
      <c r="AE222" s="11">
        <v>1</v>
      </c>
      <c r="AF222" s="11">
        <v>0</v>
      </c>
      <c r="AG222" s="4" t="s">
        <v>46</v>
      </c>
    </row>
    <row x14ac:dyDescent="0.25" r="223" customHeight="1" ht="15">
      <c r="A223" s="38">
        <v>259.6</v>
      </c>
      <c r="B223" s="6">
        <f>IF(ISNUMBER(A223),
IF(AND(A223=INT(A223), MOD(A223, 10) = 0), 0,
IF(AND(A223=INT(A223), LEN(A223)=2), 1,
IF(AND(A223=INT(A223), LEN(A223)=3), 2,
LEN(A223) - FIND(".", A223) + 2)
)
),
"")</f>
      </c>
      <c r="C223" s="7" t="s">
        <v>182</v>
      </c>
      <c r="D223" s="8">
        <f>REPT("   ", B223*2) &amp; C223</f>
      </c>
      <c r="E223" s="7" t="s">
        <v>35</v>
      </c>
      <c r="F223" s="7" t="s">
        <v>36</v>
      </c>
      <c r="G223" s="10">
        <v>1</v>
      </c>
      <c r="H223" s="9"/>
      <c r="I223" s="15"/>
      <c r="J223" s="14"/>
      <c r="K223" s="14"/>
      <c r="L223" s="15"/>
      <c r="M223" s="7"/>
      <c r="N223" s="20"/>
      <c r="O223" s="15"/>
      <c r="P223" s="14"/>
      <c r="Q223" s="14"/>
      <c r="R223" s="15"/>
      <c r="S223" s="7"/>
      <c r="T223" s="15"/>
      <c r="U223" s="15"/>
      <c r="V223" s="15"/>
      <c r="W223" s="4" t="s">
        <v>44</v>
      </c>
      <c r="X223" s="12">
        <f>0.8*$I223</f>
      </c>
      <c r="Y223" s="12">
        <f>2*J223</f>
      </c>
      <c r="Z223" s="4" t="s">
        <v>45</v>
      </c>
      <c r="AA223" s="11">
        <f>0.8*K223</f>
      </c>
      <c r="AB223" s="11">
        <f>2*K223</f>
      </c>
      <c r="AC223" s="4" t="s">
        <v>45</v>
      </c>
      <c r="AD223" s="13">
        <v>0.1</v>
      </c>
      <c r="AE223" s="11">
        <v>1</v>
      </c>
      <c r="AF223" s="11">
        <v>0</v>
      </c>
      <c r="AG223" s="4" t="s">
        <v>46</v>
      </c>
    </row>
    <row x14ac:dyDescent="0.25" r="224" customHeight="1" ht="15">
      <c r="A224" s="6">
        <v>26</v>
      </c>
      <c r="B224" s="6">
        <f>IF(ISNUMBER(A224),
IF(AND(A224=INT(A224), MOD(A224, 10) = 0), 0,
IF(AND(A224=INT(A224), LEN(A224)=2), 1,
IF(AND(A224=INT(A224), LEN(A224)=3), 2,
LEN(A224) - FIND(".", A224) + 2)
)
),
"")</f>
      </c>
      <c r="C224" s="7" t="s">
        <v>196</v>
      </c>
      <c r="D224" s="8">
        <f>REPT("   ", B224*2) &amp; C224</f>
      </c>
      <c r="E224" s="9"/>
      <c r="F224" s="9"/>
      <c r="G224" s="10"/>
      <c r="H224" s="9"/>
      <c r="I224" s="15"/>
      <c r="J224" s="14"/>
      <c r="K224" s="14"/>
      <c r="L224" s="15"/>
      <c r="M224" s="15"/>
      <c r="N224" s="20"/>
      <c r="O224" s="15"/>
      <c r="P224" s="14"/>
      <c r="Q224" s="14"/>
      <c r="R224" s="15"/>
      <c r="S224" s="7"/>
      <c r="T224" s="7"/>
      <c r="U224" s="15"/>
      <c r="V224" s="15"/>
      <c r="W224" s="4"/>
      <c r="X224" s="12"/>
      <c r="Y224" s="12"/>
      <c r="Z224" s="4"/>
      <c r="AA224" s="11"/>
      <c r="AB224" s="11"/>
      <c r="AC224" s="4"/>
      <c r="AD224" s="13"/>
      <c r="AE224" s="11"/>
      <c r="AF224" s="11"/>
      <c r="AG224" s="4"/>
    </row>
    <row x14ac:dyDescent="0.25" r="225" customHeight="1" ht="15">
      <c r="A225" s="6">
        <v>261</v>
      </c>
      <c r="B225" s="6">
        <f>IF(ISNUMBER(A225),
IF(AND(A225=INT(A225), MOD(A225, 10) = 0), 0,
IF(AND(A225=INT(A225), LEN(A225)=2), 1,
IF(AND(A225=INT(A225), LEN(A225)=3), 2,
LEN(A225) - FIND(".", A225) + 2)
)
),
"")</f>
      </c>
      <c r="C225" s="7" t="s">
        <v>197</v>
      </c>
      <c r="D225" s="8">
        <f>REPT("   ", B225*2) &amp; C225</f>
      </c>
      <c r="E225" s="7" t="s">
        <v>35</v>
      </c>
      <c r="F225" s="7" t="s">
        <v>36</v>
      </c>
      <c r="G225" s="10">
        <v>1</v>
      </c>
      <c r="H225" s="9"/>
      <c r="I225" s="15"/>
      <c r="J225" s="14"/>
      <c r="K225" s="14">
        <f>14424707.2061682/N225</f>
      </c>
      <c r="L225" s="15" t="s">
        <v>48</v>
      </c>
      <c r="M225" s="15" t="s">
        <v>198</v>
      </c>
      <c r="N225" s="14">
        <v>1144</v>
      </c>
      <c r="O225" s="15" t="s">
        <v>50</v>
      </c>
      <c r="P225" s="39">
        <v>0.6</v>
      </c>
      <c r="Q225" s="14">
        <v>2018</v>
      </c>
      <c r="R225" s="15" t="s">
        <v>86</v>
      </c>
      <c r="S225" s="40" t="s">
        <v>199</v>
      </c>
      <c r="T225" s="40" t="s">
        <v>200</v>
      </c>
      <c r="U225" s="15"/>
      <c r="V225" s="15"/>
      <c r="W225" s="4" t="s">
        <v>44</v>
      </c>
      <c r="X225" s="12">
        <f>0.9*$J225</f>
      </c>
      <c r="Y225" s="12">
        <f>1.5*J225</f>
      </c>
      <c r="Z225" s="4"/>
      <c r="AA225" s="13">
        <f>0.9*K225</f>
      </c>
      <c r="AB225" s="13">
        <f>1.3*K225</f>
      </c>
      <c r="AC225" s="4"/>
      <c r="AD225" s="13"/>
      <c r="AE225" s="11"/>
      <c r="AF225" s="11"/>
      <c r="AG225" s="4"/>
    </row>
    <row x14ac:dyDescent="0.25" r="226" customHeight="1" ht="15">
      <c r="A226" s="6">
        <v>262</v>
      </c>
      <c r="B226" s="6">
        <f>IF(ISNUMBER(A226),
IF(AND(A226=INT(A226), MOD(A226, 10) = 0), 0,
IF(AND(A226=INT(A226), LEN(A226)=2), 1,
IF(AND(A226=INT(A226), LEN(A226)=3), 2,
LEN(A226) - FIND(".", A226) + 2)
)
),
"")</f>
      </c>
      <c r="C226" s="7" t="s">
        <v>201</v>
      </c>
      <c r="D226" s="8">
        <f>REPT("   ", B226*2) &amp; C226</f>
      </c>
      <c r="E226" s="7" t="s">
        <v>35</v>
      </c>
      <c r="F226" s="7" t="s">
        <v>36</v>
      </c>
      <c r="G226" s="10">
        <v>1</v>
      </c>
      <c r="H226" s="9"/>
      <c r="I226" s="15"/>
      <c r="J226" s="14"/>
      <c r="K226" s="14">
        <f>11992641.3775456/N225</f>
      </c>
      <c r="L226" s="15" t="s">
        <v>48</v>
      </c>
      <c r="M226" s="15" t="s">
        <v>198</v>
      </c>
      <c r="N226" s="14">
        <v>1144</v>
      </c>
      <c r="O226" s="15" t="s">
        <v>50</v>
      </c>
      <c r="P226" s="39">
        <v>0.6</v>
      </c>
      <c r="Q226" s="14">
        <v>2018</v>
      </c>
      <c r="R226" s="15" t="s">
        <v>86</v>
      </c>
      <c r="S226" s="41"/>
      <c r="T226" s="41"/>
      <c r="U226" s="15"/>
      <c r="V226" s="15"/>
      <c r="W226" s="4" t="s">
        <v>44</v>
      </c>
      <c r="X226" s="12">
        <f>0.9*$J226</f>
      </c>
      <c r="Y226" s="12">
        <f>1.5*J226</f>
      </c>
      <c r="Z226" s="4"/>
      <c r="AA226" s="13">
        <f>0.9*K226</f>
      </c>
      <c r="AB226" s="13">
        <f>1.3*K226</f>
      </c>
      <c r="AC226" s="4"/>
      <c r="AD226" s="13"/>
      <c r="AE226" s="11"/>
      <c r="AF226" s="11"/>
      <c r="AG226" s="4"/>
    </row>
    <row x14ac:dyDescent="0.25" r="227" customHeight="1" ht="15">
      <c r="A227" s="6">
        <v>263</v>
      </c>
      <c r="B227" s="6">
        <v>2</v>
      </c>
      <c r="C227" s="7" t="s">
        <v>202</v>
      </c>
      <c r="D227" s="8">
        <f>REPT("   ", B227*2) &amp; C227</f>
      </c>
      <c r="E227" s="7" t="s">
        <v>35</v>
      </c>
      <c r="F227" s="7" t="s">
        <v>36</v>
      </c>
      <c r="G227" s="10">
        <v>1</v>
      </c>
      <c r="H227" s="9"/>
      <c r="I227" s="15"/>
      <c r="J227" s="14"/>
      <c r="K227" s="14">
        <f>14424707.2061682/N227</f>
      </c>
      <c r="L227" s="15" t="s">
        <v>48</v>
      </c>
      <c r="M227" s="15" t="s">
        <v>198</v>
      </c>
      <c r="N227" s="14">
        <v>1144</v>
      </c>
      <c r="O227" s="15" t="s">
        <v>50</v>
      </c>
      <c r="P227" s="39">
        <v>0.6</v>
      </c>
      <c r="Q227" s="14">
        <v>2018</v>
      </c>
      <c r="R227" s="15" t="s">
        <v>86</v>
      </c>
      <c r="S227" s="41"/>
      <c r="T227" s="41"/>
      <c r="U227" s="15"/>
      <c r="V227" s="15"/>
      <c r="W227" s="4" t="s">
        <v>44</v>
      </c>
      <c r="X227" s="12">
        <f>0.9*$J227</f>
      </c>
      <c r="Y227" s="12">
        <f>1.5*J227</f>
      </c>
      <c r="Z227" s="4"/>
      <c r="AA227" s="13">
        <f>0.9*K227</f>
      </c>
      <c r="AB227" s="13">
        <f>1.3*K227</f>
      </c>
      <c r="AC227" s="4"/>
      <c r="AD227" s="13"/>
      <c r="AE227" s="11"/>
      <c r="AF227" s="11"/>
      <c r="AG227" s="4"/>
    </row>
    <row x14ac:dyDescent="0.25" r="228" customHeight="1" ht="15">
      <c r="A228" s="6">
        <v>264</v>
      </c>
      <c r="B228" s="6">
        <v>2</v>
      </c>
      <c r="C228" s="7" t="s">
        <v>203</v>
      </c>
      <c r="D228" s="8">
        <f>REPT("   ", B228*2) &amp; C228</f>
      </c>
      <c r="E228" s="7" t="s">
        <v>35</v>
      </c>
      <c r="F228" s="7" t="s">
        <v>36</v>
      </c>
      <c r="G228" s="10">
        <v>1</v>
      </c>
      <c r="H228" s="9"/>
      <c r="I228" s="15"/>
      <c r="J228" s="14"/>
      <c r="K228" s="14">
        <f>11992641.3775456/N227</f>
      </c>
      <c r="L228" s="15" t="s">
        <v>48</v>
      </c>
      <c r="M228" s="15" t="s">
        <v>198</v>
      </c>
      <c r="N228" s="14">
        <v>1144</v>
      </c>
      <c r="O228" s="15" t="s">
        <v>50</v>
      </c>
      <c r="P228" s="39">
        <v>0.6</v>
      </c>
      <c r="Q228" s="14">
        <v>2018</v>
      </c>
      <c r="R228" s="15" t="s">
        <v>86</v>
      </c>
      <c r="S228" s="41"/>
      <c r="T228" s="41"/>
      <c r="U228" s="15"/>
      <c r="V228" s="15"/>
      <c r="W228" s="4" t="s">
        <v>44</v>
      </c>
      <c r="X228" s="12">
        <f>0.9*$J228</f>
      </c>
      <c r="Y228" s="12">
        <f>1.5*J228</f>
      </c>
      <c r="Z228" s="4"/>
      <c r="AA228" s="13">
        <f>0.9*K228</f>
      </c>
      <c r="AB228" s="13">
        <f>1.3*K228</f>
      </c>
      <c r="AC228" s="4"/>
      <c r="AD228" s="13"/>
      <c r="AE228" s="11"/>
      <c r="AF228" s="11"/>
      <c r="AG228" s="4"/>
    </row>
    <row x14ac:dyDescent="0.25" r="229" customHeight="1" ht="15">
      <c r="A229" s="6">
        <v>265</v>
      </c>
      <c r="B229" s="6">
        <f>IF(ISNUMBER(A229),
IF(AND(A229=INT(A229), MOD(A229, 10) = 0), 0,
IF(AND(A229=INT(A229), LEN(A229)=2), 1,
IF(AND(A229=INT(A229), LEN(A229)=3), 2,
LEN(A229) - FIND(".", A229) + 2)
)
),
"")</f>
      </c>
      <c r="C229" s="7" t="s">
        <v>204</v>
      </c>
      <c r="D229" s="8">
        <f>REPT("   ", B229*2) &amp; C229</f>
      </c>
      <c r="E229" s="7" t="s">
        <v>35</v>
      </c>
      <c r="F229" s="7" t="s">
        <v>36</v>
      </c>
      <c r="G229" s="10">
        <v>1</v>
      </c>
      <c r="H229" s="9"/>
      <c r="I229" s="9"/>
      <c r="J229" s="18"/>
      <c r="K229" s="14">
        <f>3894246.37400843/N227</f>
      </c>
      <c r="L229" s="15" t="s">
        <v>48</v>
      </c>
      <c r="M229" s="15" t="s">
        <v>198</v>
      </c>
      <c r="N229" s="14">
        <v>1144</v>
      </c>
      <c r="O229" s="15" t="s">
        <v>50</v>
      </c>
      <c r="P229" s="39">
        <v>0.6</v>
      </c>
      <c r="Q229" s="14">
        <v>2018</v>
      </c>
      <c r="R229" s="15" t="s">
        <v>86</v>
      </c>
      <c r="S229" s="41"/>
      <c r="T229" s="41"/>
      <c r="U229" s="15"/>
      <c r="V229" s="15"/>
      <c r="W229" s="4" t="s">
        <v>44</v>
      </c>
      <c r="X229" s="12">
        <f>0.9*$J229</f>
      </c>
      <c r="Y229" s="12">
        <f>1.5*J229</f>
      </c>
      <c r="Z229" s="4"/>
      <c r="AA229" s="13">
        <f>0.9*K229</f>
      </c>
      <c r="AB229" s="13">
        <f>1.3*K229</f>
      </c>
      <c r="AC229" s="4"/>
      <c r="AD229" s="13"/>
      <c r="AE229" s="11"/>
      <c r="AF229" s="11"/>
      <c r="AG229" s="4"/>
    </row>
    <row x14ac:dyDescent="0.25" r="230" customHeight="1" ht="15">
      <c r="A230" s="6">
        <v>266</v>
      </c>
      <c r="B230" s="6">
        <f>IF(ISNUMBER(A230),
IF(AND(A230=INT(A230), MOD(A230, 10) = 0), 0,
IF(AND(A230=INT(A230), LEN(A230)=2), 1,
IF(AND(A230=INT(A230), LEN(A230)=3), 2,
LEN(A230) - FIND(".", A230) + 2)
)
),
"")</f>
      </c>
      <c r="C230" s="7" t="s">
        <v>205</v>
      </c>
      <c r="D230" s="8">
        <f>REPT("   ", B230*2) &amp; C230</f>
      </c>
      <c r="E230" s="7" t="s">
        <v>35</v>
      </c>
      <c r="F230" s="7" t="s">
        <v>36</v>
      </c>
      <c r="G230" s="10">
        <v>1</v>
      </c>
      <c r="H230" s="9"/>
      <c r="I230" s="9"/>
      <c r="J230" s="18"/>
      <c r="K230" s="14">
        <f>11183911.9256997/N227</f>
      </c>
      <c r="L230" s="15" t="s">
        <v>48</v>
      </c>
      <c r="M230" s="15" t="s">
        <v>198</v>
      </c>
      <c r="N230" s="14">
        <v>1144</v>
      </c>
      <c r="O230" s="15" t="s">
        <v>50</v>
      </c>
      <c r="P230" s="39">
        <v>0.6</v>
      </c>
      <c r="Q230" s="14">
        <v>2018</v>
      </c>
      <c r="R230" s="15" t="s">
        <v>86</v>
      </c>
      <c r="S230" s="41"/>
      <c r="T230" s="41"/>
      <c r="U230" s="15"/>
      <c r="V230" s="15"/>
      <c r="W230" s="4" t="s">
        <v>44</v>
      </c>
      <c r="X230" s="12">
        <f>0.9*$J230</f>
      </c>
      <c r="Y230" s="12">
        <f>1.5*J230</f>
      </c>
      <c r="Z230" s="4"/>
      <c r="AA230" s="13">
        <f>0.9*K230</f>
      </c>
      <c r="AB230" s="13">
        <f>1.3*K230</f>
      </c>
      <c r="AC230" s="4"/>
      <c r="AD230" s="13"/>
      <c r="AE230" s="11"/>
      <c r="AF230" s="11"/>
      <c r="AG230" s="4"/>
    </row>
    <row x14ac:dyDescent="0.25" r="231" customHeight="1" ht="15">
      <c r="A231" s="6">
        <v>27</v>
      </c>
      <c r="B231" s="6">
        <f>IF(ISNUMBER(A231),
IF(AND(A231=INT(A231), MOD(A231, 10) = 0), 0,
IF(AND(A231=INT(A231), LEN(A231)=2), 1,
IF(AND(A231=INT(A231), LEN(A231)=3), 2,
LEN(A231) - FIND(".", A231) + 2)
)
),
"")</f>
      </c>
      <c r="C231" s="7" t="s">
        <v>206</v>
      </c>
      <c r="D231" s="8">
        <f>REPT("   ", B231*2) &amp; C231</f>
      </c>
      <c r="E231" s="9"/>
      <c r="F231" s="9"/>
      <c r="G231" s="10"/>
      <c r="H231" s="9"/>
      <c r="I231" s="9"/>
      <c r="J231" s="18"/>
      <c r="K231" s="14"/>
      <c r="L231" s="15"/>
      <c r="M231" s="15"/>
      <c r="N231" s="20"/>
      <c r="O231" s="15"/>
      <c r="P231" s="14"/>
      <c r="Q231" s="14"/>
      <c r="R231" s="15"/>
      <c r="S231" s="7"/>
      <c r="T231" s="7"/>
      <c r="U231" s="15"/>
      <c r="V231" s="15"/>
      <c r="W231" s="4"/>
      <c r="X231" s="12"/>
      <c r="Y231" s="12"/>
      <c r="Z231" s="4"/>
      <c r="AA231" s="11"/>
      <c r="AB231" s="11"/>
      <c r="AC231" s="4"/>
      <c r="AD231" s="13"/>
      <c r="AE231" s="11"/>
      <c r="AF231" s="11"/>
      <c r="AG231" s="4"/>
    </row>
    <row x14ac:dyDescent="0.25" r="232" customHeight="1" ht="15">
      <c r="A232" s="6">
        <v>271</v>
      </c>
      <c r="B232" s="6">
        <f>IF(ISNUMBER(A232),
IF(AND(A232=INT(A232), MOD(A232, 10) = 0), 0,
IF(AND(A232=INT(A232), LEN(A232)=2), 1,
IF(AND(A232=INT(A232), LEN(A232)=3), 2,
LEN(A232) - FIND(".", A232) + 2)
)
),
"")</f>
      </c>
      <c r="C232" s="7" t="s">
        <v>207</v>
      </c>
      <c r="D232" s="8">
        <f>REPT("   ", B232*2) &amp; C232</f>
      </c>
      <c r="E232" s="7" t="s">
        <v>35</v>
      </c>
      <c r="F232" s="7" t="s">
        <v>36</v>
      </c>
      <c r="G232" s="10">
        <v>1</v>
      </c>
      <c r="H232" s="9"/>
      <c r="I232" s="9"/>
      <c r="J232" s="18"/>
      <c r="K232" s="14"/>
      <c r="L232" s="15"/>
      <c r="M232" s="15"/>
      <c r="N232" s="20"/>
      <c r="O232" s="15"/>
      <c r="P232" s="14"/>
      <c r="Q232" s="14"/>
      <c r="R232" s="15"/>
      <c r="S232" s="7"/>
      <c r="T232" s="7"/>
      <c r="U232" s="15"/>
      <c r="V232" s="15"/>
      <c r="W232" s="4" t="s">
        <v>44</v>
      </c>
      <c r="X232" s="12">
        <f>0.9*$J232</f>
      </c>
      <c r="Y232" s="12">
        <f>1.5*J232</f>
      </c>
      <c r="Z232" s="4" t="s">
        <v>45</v>
      </c>
      <c r="AA232" s="11">
        <f>0.9*K232</f>
      </c>
      <c r="AB232" s="11">
        <f>1.3*K232</f>
      </c>
      <c r="AC232" s="4" t="s">
        <v>45</v>
      </c>
      <c r="AD232" s="13">
        <v>0.1</v>
      </c>
      <c r="AE232" s="11">
        <v>1</v>
      </c>
      <c r="AF232" s="11">
        <v>0</v>
      </c>
      <c r="AG232" s="4" t="s">
        <v>46</v>
      </c>
    </row>
    <row x14ac:dyDescent="0.25" r="233" customHeight="1" ht="15">
      <c r="A233" s="6">
        <v>28</v>
      </c>
      <c r="B233" s="6">
        <f>IF(ISNUMBER(A233),
IF(AND(A233=INT(A233), MOD(A233, 10) = 0), 0,
IF(AND(A233=INT(A233), LEN(A233)=2), 1,
IF(AND(A233=INT(A233), LEN(A233)=3), 2,
LEN(A233) - FIND(".", A233) + 2)
)
),
"")</f>
      </c>
      <c r="C233" s="7" t="s">
        <v>208</v>
      </c>
      <c r="D233" s="8">
        <f>REPT("   ", B233*2) &amp; C233</f>
      </c>
      <c r="E233" s="9"/>
      <c r="F233" s="9"/>
      <c r="G233" s="10"/>
      <c r="H233" s="9"/>
      <c r="I233" s="9"/>
      <c r="J233" s="18"/>
      <c r="K233" s="14"/>
      <c r="L233" s="15"/>
      <c r="M233" s="15"/>
      <c r="N233" s="20"/>
      <c r="O233" s="15"/>
      <c r="P233" s="14"/>
      <c r="Q233" s="14"/>
      <c r="R233" s="15"/>
      <c r="S233" s="7"/>
      <c r="T233" s="7"/>
      <c r="U233" s="15"/>
      <c r="V233" s="15"/>
      <c r="W233" s="4"/>
      <c r="X233" s="12"/>
      <c r="Y233" s="12"/>
      <c r="Z233" s="4"/>
      <c r="AA233" s="11"/>
      <c r="AB233" s="11"/>
      <c r="AC233" s="4"/>
      <c r="AD233" s="13"/>
      <c r="AE233" s="11"/>
      <c r="AF233" s="11"/>
      <c r="AG233" s="4"/>
    </row>
    <row x14ac:dyDescent="0.25" r="234" customHeight="1" ht="15">
      <c r="A234" s="6">
        <v>281</v>
      </c>
      <c r="B234" s="6">
        <f>IF(ISNUMBER(A234),
IF(AND(A234=INT(A234), MOD(A234, 10) = 0), 0,
IF(AND(A234=INT(A234), LEN(A234)=2), 1,
IF(AND(A234=INT(A234), LEN(A234)=3), 2,
LEN(A234) - FIND(".", A234) + 2)
)
),
"")</f>
      </c>
      <c r="C234" s="7" t="s">
        <v>209</v>
      </c>
      <c r="D234" s="8">
        <f>REPT("   ", B234*2) &amp; C234</f>
      </c>
      <c r="E234" s="9"/>
      <c r="F234" s="9"/>
      <c r="G234" s="10"/>
      <c r="H234" s="9"/>
      <c r="I234" s="9"/>
      <c r="J234" s="18"/>
      <c r="K234" s="14"/>
      <c r="L234" s="15"/>
      <c r="M234" s="15"/>
      <c r="N234" s="20"/>
      <c r="O234" s="15"/>
      <c r="P234" s="14"/>
      <c r="Q234" s="14"/>
      <c r="R234" s="15"/>
      <c r="S234" s="7"/>
      <c r="T234" s="7"/>
      <c r="U234" s="15"/>
      <c r="V234" s="15"/>
      <c r="W234" s="4"/>
      <c r="X234" s="12"/>
      <c r="Y234" s="12"/>
      <c r="Z234" s="4"/>
      <c r="AA234" s="11"/>
      <c r="AB234" s="11"/>
      <c r="AC234" s="4"/>
      <c r="AD234" s="13"/>
      <c r="AE234" s="11"/>
      <c r="AF234" s="11"/>
      <c r="AG234" s="4"/>
    </row>
    <row x14ac:dyDescent="0.25" r="235" customHeight="1" ht="25.5">
      <c r="A235" s="38">
        <v>281.1</v>
      </c>
      <c r="B235" s="6">
        <f>IF(ISNUMBER(A235),
IF(AND(A235=INT(A235), MOD(A235, 10) = 0), 0,
IF(AND(A235=INT(A235), LEN(A235)=2), 1,
IF(AND(A235=INT(A235), LEN(A235)=3), 2,
LEN(A235) - FIND(".", A235) + 2)
)
),
"")</f>
      </c>
      <c r="C235" s="7" t="s">
        <v>210</v>
      </c>
      <c r="D235" s="8">
        <f>REPT("   ", B235*2) &amp; C235</f>
      </c>
      <c r="E235" s="7" t="s">
        <v>35</v>
      </c>
      <c r="F235" s="7" t="s">
        <v>211</v>
      </c>
      <c r="G235" s="10">
        <v>1</v>
      </c>
      <c r="H235" s="9"/>
      <c r="I235" s="9"/>
      <c r="J235" s="18"/>
      <c r="K235" s="14"/>
      <c r="L235" s="15"/>
      <c r="M235" s="15"/>
      <c r="N235" s="20"/>
      <c r="O235" s="15"/>
      <c r="P235" s="14"/>
      <c r="Q235" s="14"/>
      <c r="R235" s="15"/>
      <c r="S235" s="7"/>
      <c r="T235" s="7"/>
      <c r="U235" s="15"/>
      <c r="V235" s="15"/>
      <c r="W235" s="4" t="s">
        <v>44</v>
      </c>
      <c r="X235" s="12">
        <f>0.9*$J235</f>
      </c>
      <c r="Y235" s="12">
        <f>1.5*J235</f>
      </c>
      <c r="Z235" s="4" t="s">
        <v>45</v>
      </c>
      <c r="AA235" s="11">
        <f>0.9*K235</f>
      </c>
      <c r="AB235" s="11">
        <f>1.3*K235</f>
      </c>
      <c r="AC235" s="4" t="s">
        <v>45</v>
      </c>
      <c r="AD235" s="13">
        <v>0.1</v>
      </c>
      <c r="AE235" s="11">
        <v>1</v>
      </c>
      <c r="AF235" s="11">
        <v>0</v>
      </c>
      <c r="AG235" s="4" t="s">
        <v>46</v>
      </c>
    </row>
    <row x14ac:dyDescent="0.25" r="236" customHeight="1" ht="15">
      <c r="A236" s="6">
        <v>282</v>
      </c>
      <c r="B236" s="6">
        <f>IF(ISNUMBER(A236),
IF(AND(A236=INT(A236), MOD(A236, 10) = 0), 0,
IF(AND(A236=INT(A236), LEN(A236)=2), 1,
IF(AND(A236=INT(A236), LEN(A236)=3), 2,
LEN(A236) - FIND(".", A236) + 2)
)
),
"")</f>
      </c>
      <c r="C236" s="7" t="s">
        <v>212</v>
      </c>
      <c r="D236" s="8">
        <f>REPT("   ", B236*2) &amp; C236</f>
      </c>
      <c r="E236" s="9"/>
      <c r="F236" s="9"/>
      <c r="G236" s="10"/>
      <c r="H236" s="9"/>
      <c r="I236" s="9"/>
      <c r="J236" s="18"/>
      <c r="K236" s="14"/>
      <c r="L236" s="15"/>
      <c r="M236" s="15"/>
      <c r="N236" s="20"/>
      <c r="O236" s="15"/>
      <c r="P236" s="14"/>
      <c r="Q236" s="14"/>
      <c r="R236" s="15"/>
      <c r="S236" s="7"/>
      <c r="T236" s="7"/>
      <c r="U236" s="15"/>
      <c r="V236" s="15"/>
      <c r="W236" s="4"/>
      <c r="X236" s="12"/>
      <c r="Y236" s="12"/>
      <c r="Z236" s="4"/>
      <c r="AA236" s="11"/>
      <c r="AB236" s="11"/>
      <c r="AC236" s="4"/>
      <c r="AD236" s="13"/>
      <c r="AE236" s="11"/>
      <c r="AF236" s="11"/>
      <c r="AG236" s="4"/>
    </row>
    <row x14ac:dyDescent="0.25" r="237" customHeight="1" ht="38.25">
      <c r="A237" s="38">
        <v>282.1</v>
      </c>
      <c r="B237" s="6">
        <f>IF(ISNUMBER(A237),
IF(AND(A237=INT(A237), MOD(A237, 10) = 0), 0,
IF(AND(A237=INT(A237), LEN(A237)=2), 1,
IF(AND(A237=INT(A237), LEN(A237)=3), 2,
LEN(A237) - FIND(".", A237) + 2)
)
),
"")</f>
      </c>
      <c r="C237" s="7" t="s">
        <v>213</v>
      </c>
      <c r="D237" s="8">
        <f>REPT("   ", B237*2) &amp; C237</f>
      </c>
      <c r="E237" s="7" t="s">
        <v>35</v>
      </c>
      <c r="F237" s="7" t="s">
        <v>214</v>
      </c>
      <c r="G237" s="10">
        <v>1</v>
      </c>
      <c r="H237" s="9"/>
      <c r="I237" s="9"/>
      <c r="J237" s="18"/>
      <c r="K237" s="14"/>
      <c r="L237" s="15"/>
      <c r="M237" s="15"/>
      <c r="N237" s="20"/>
      <c r="O237" s="15"/>
      <c r="P237" s="14"/>
      <c r="Q237" s="14"/>
      <c r="R237" s="15"/>
      <c r="S237" s="7"/>
      <c r="T237" s="7"/>
      <c r="U237" s="15"/>
      <c r="V237" s="15"/>
      <c r="W237" s="4" t="s">
        <v>44</v>
      </c>
      <c r="X237" s="12">
        <f>0.9*$J237</f>
      </c>
      <c r="Y237" s="12">
        <f>1.5*J237</f>
      </c>
      <c r="Z237" s="4" t="s">
        <v>45</v>
      </c>
      <c r="AA237" s="11">
        <f>0.9*K237</f>
      </c>
      <c r="AB237" s="11">
        <f>1.3*K237</f>
      </c>
      <c r="AC237" s="4" t="s">
        <v>45</v>
      </c>
      <c r="AD237" s="13">
        <v>0.1</v>
      </c>
      <c r="AE237" s="11">
        <v>1</v>
      </c>
      <c r="AF237" s="11">
        <v>0</v>
      </c>
      <c r="AG237" s="4" t="s">
        <v>46</v>
      </c>
    </row>
    <row x14ac:dyDescent="0.25" r="238" customHeight="1" ht="38.25">
      <c r="A238" s="38">
        <v>282.2</v>
      </c>
      <c r="B238" s="6">
        <f>IF(ISNUMBER(A238),
IF(AND(A238=INT(A238), MOD(A238, 10) = 0), 0,
IF(AND(A238=INT(A238), LEN(A238)=2), 1,
IF(AND(A238=INT(A238), LEN(A238)=3), 2,
LEN(A238) - FIND(".", A238) + 2)
)
),
"")</f>
      </c>
      <c r="C238" s="7" t="s">
        <v>215</v>
      </c>
      <c r="D238" s="8">
        <f>REPT("   ", B238*2) &amp; C238</f>
      </c>
      <c r="E238" s="7" t="s">
        <v>35</v>
      </c>
      <c r="F238" s="7" t="s">
        <v>216</v>
      </c>
      <c r="G238" s="10">
        <v>1</v>
      </c>
      <c r="H238" s="9"/>
      <c r="I238" s="9"/>
      <c r="J238" s="18"/>
      <c r="K238" s="14"/>
      <c r="L238" s="15"/>
      <c r="M238" s="15"/>
      <c r="N238" s="20"/>
      <c r="O238" s="15"/>
      <c r="P238" s="14"/>
      <c r="Q238" s="14"/>
      <c r="R238" s="15"/>
      <c r="S238" s="7"/>
      <c r="T238" s="7"/>
      <c r="U238" s="15"/>
      <c r="V238" s="15"/>
      <c r="W238" s="4" t="s">
        <v>44</v>
      </c>
      <c r="X238" s="12">
        <f>0.9*$J238</f>
      </c>
      <c r="Y238" s="12">
        <f>1.5*J238</f>
      </c>
      <c r="Z238" s="4" t="s">
        <v>45</v>
      </c>
      <c r="AA238" s="11">
        <f>0.9*K238</f>
      </c>
      <c r="AB238" s="11">
        <f>1.3*K238</f>
      </c>
      <c r="AC238" s="4" t="s">
        <v>45</v>
      </c>
      <c r="AD238" s="13">
        <v>0.1</v>
      </c>
      <c r="AE238" s="11">
        <v>1</v>
      </c>
      <c r="AF238" s="11">
        <v>0</v>
      </c>
      <c r="AG238" s="4" t="s">
        <v>46</v>
      </c>
    </row>
    <row x14ac:dyDescent="0.25" r="239" customHeight="1" ht="38.25">
      <c r="A239" s="38">
        <v>283.4</v>
      </c>
      <c r="B239" s="6">
        <f>IF(ISNUMBER(A239),
IF(AND(A239=INT(A239), MOD(A239, 10) = 0), 0,
IF(AND(A239=INT(A239), LEN(A239)=2), 1,
IF(AND(A239=INT(A239), LEN(A239)=3), 2,
LEN(A239) - FIND(".", A239) + 2)
)
),
"")</f>
      </c>
      <c r="C239" s="7" t="s">
        <v>217</v>
      </c>
      <c r="D239" s="8">
        <f>REPT("   ", B239*2) &amp; C239</f>
      </c>
      <c r="E239" s="7" t="s">
        <v>35</v>
      </c>
      <c r="F239" s="7" t="s">
        <v>218</v>
      </c>
      <c r="G239" s="10">
        <v>1</v>
      </c>
      <c r="H239" s="9"/>
      <c r="I239" s="9"/>
      <c r="J239" s="18"/>
      <c r="K239" s="14"/>
      <c r="L239" s="15"/>
      <c r="M239" s="15"/>
      <c r="N239" s="20"/>
      <c r="O239" s="15"/>
      <c r="P239" s="14"/>
      <c r="Q239" s="14"/>
      <c r="R239" s="15"/>
      <c r="S239" s="7"/>
      <c r="T239" s="7"/>
      <c r="U239" s="15"/>
      <c r="V239" s="15"/>
      <c r="W239" s="4" t="s">
        <v>44</v>
      </c>
      <c r="X239" s="12">
        <f>0.9*$J239</f>
      </c>
      <c r="Y239" s="12">
        <f>1.5*J239</f>
      </c>
      <c r="Z239" s="4" t="s">
        <v>45</v>
      </c>
      <c r="AA239" s="11">
        <f>0.9*K239</f>
      </c>
      <c r="AB239" s="11">
        <f>1.3*K239</f>
      </c>
      <c r="AC239" s="4" t="s">
        <v>45</v>
      </c>
      <c r="AD239" s="13">
        <v>0.1</v>
      </c>
      <c r="AE239" s="11">
        <v>1</v>
      </c>
      <c r="AF239" s="11">
        <v>0</v>
      </c>
      <c r="AG239" s="4" t="s">
        <v>46</v>
      </c>
    </row>
    <row x14ac:dyDescent="0.25" r="240" customHeight="1" ht="25.5">
      <c r="A240" s="6">
        <v>283</v>
      </c>
      <c r="B240" s="6">
        <f>IF(ISNUMBER(A240),
IF(AND(A240=INT(A240), MOD(A240, 10) = 0), 0,
IF(AND(A240=INT(A240), LEN(A240)=2), 1,
IF(AND(A240=INT(A240), LEN(A240)=3), 2,
LEN(A240) - FIND(".", A240) + 2)
)
),
"")</f>
      </c>
      <c r="C240" s="7" t="s">
        <v>219</v>
      </c>
      <c r="D240" s="8">
        <f>REPT("   ", B240*2) &amp; C240</f>
      </c>
      <c r="E240" s="7" t="s">
        <v>35</v>
      </c>
      <c r="F240" s="7" t="s">
        <v>36</v>
      </c>
      <c r="G240" s="10">
        <v>1</v>
      </c>
      <c r="H240" s="9"/>
      <c r="I240" s="9"/>
      <c r="J240" s="18"/>
      <c r="K240" s="14"/>
      <c r="L240" s="15"/>
      <c r="M240" s="15"/>
      <c r="N240" s="20"/>
      <c r="O240" s="15"/>
      <c r="P240" s="14"/>
      <c r="Q240" s="14"/>
      <c r="R240" s="15"/>
      <c r="S240" s="7"/>
      <c r="T240" s="7"/>
      <c r="U240" s="15"/>
      <c r="V240" s="15"/>
      <c r="W240" s="4"/>
      <c r="X240" s="12">
        <f>0.8*$I240</f>
      </c>
      <c r="Y240" s="12">
        <f>2*J240</f>
      </c>
      <c r="Z240" s="4" t="s">
        <v>45</v>
      </c>
      <c r="AA240" s="11">
        <f>0.8*K240</f>
      </c>
      <c r="AB240" s="11">
        <f>2*K240</f>
      </c>
      <c r="AC240" s="4" t="s">
        <v>45</v>
      </c>
      <c r="AD240" s="13">
        <v>0.1</v>
      </c>
      <c r="AE240" s="11">
        <v>1</v>
      </c>
      <c r="AF240" s="11">
        <v>0</v>
      </c>
      <c r="AG240" s="4" t="s">
        <v>46</v>
      </c>
    </row>
    <row x14ac:dyDescent="0.25" r="241" customHeight="1" ht="15">
      <c r="A241" s="1">
        <v>30</v>
      </c>
      <c r="B241" s="6">
        <v>0</v>
      </c>
      <c r="C241" s="7" t="s">
        <v>220</v>
      </c>
      <c r="D241" s="8">
        <f>REPT("   ", B241*2) &amp; C241</f>
      </c>
      <c r="E241" s="9"/>
      <c r="F241" s="9"/>
      <c r="G241" s="10"/>
      <c r="H241" s="9"/>
      <c r="I241" s="9"/>
      <c r="J241" s="18"/>
      <c r="K241" s="18"/>
      <c r="L241" s="2"/>
      <c r="M241" s="2"/>
      <c r="N241" s="1"/>
      <c r="O241" s="2"/>
      <c r="P241" s="18"/>
      <c r="Q241" s="14"/>
      <c r="R241" s="15"/>
      <c r="S241" s="2"/>
      <c r="T241" s="2"/>
      <c r="U241" s="2"/>
      <c r="V241" s="2"/>
      <c r="W241" s="4"/>
      <c r="X241" s="12"/>
      <c r="Y241" s="12"/>
      <c r="Z241" s="4"/>
      <c r="AA241" s="11"/>
      <c r="AB241" s="11"/>
      <c r="AC241" s="4"/>
      <c r="AD241" s="13"/>
      <c r="AE241" s="11"/>
      <c r="AF241" s="11"/>
      <c r="AG241" s="4"/>
    </row>
    <row x14ac:dyDescent="0.25" r="242" customHeight="1" ht="15">
      <c r="A242" s="1">
        <v>31</v>
      </c>
      <c r="B242" s="6">
        <v>1</v>
      </c>
      <c r="C242" s="7" t="s">
        <v>221</v>
      </c>
      <c r="D242" s="8">
        <f>REPT("   ", B242*2) &amp; C242</f>
      </c>
      <c r="E242" s="7" t="s">
        <v>35</v>
      </c>
      <c r="F242" s="7" t="s">
        <v>36</v>
      </c>
      <c r="G242" s="10">
        <v>1</v>
      </c>
      <c r="H242" s="9"/>
      <c r="I242" s="9"/>
      <c r="J242" s="14"/>
      <c r="K242" s="14"/>
      <c r="L242" s="14"/>
      <c r="M242" s="19"/>
      <c r="N242" s="14"/>
      <c r="O242" s="14"/>
      <c r="P242" s="14"/>
      <c r="Q242" s="14">
        <v>2024</v>
      </c>
      <c r="R242" s="15" t="s">
        <v>68</v>
      </c>
      <c r="S242" s="16" t="s">
        <v>222</v>
      </c>
      <c r="T242" s="14"/>
      <c r="U242" s="14"/>
      <c r="V242" s="14"/>
      <c r="W242" s="4" t="s">
        <v>44</v>
      </c>
      <c r="X242" s="12"/>
      <c r="Y242" s="12"/>
      <c r="Z242" s="4"/>
      <c r="AA242" s="11"/>
      <c r="AB242" s="11"/>
      <c r="AC242" s="4"/>
      <c r="AD242" s="13"/>
      <c r="AE242" s="11"/>
      <c r="AF242" s="11"/>
      <c r="AG242" s="4"/>
    </row>
    <row x14ac:dyDescent="0.25" r="243" customHeight="1" ht="15">
      <c r="A243" s="1">
        <v>32</v>
      </c>
      <c r="B243" s="6">
        <v>1</v>
      </c>
      <c r="C243" s="7" t="s">
        <v>223</v>
      </c>
      <c r="D243" s="8">
        <f>REPT("   ", B243*2) &amp; C243</f>
      </c>
      <c r="E243" s="7" t="s">
        <v>35</v>
      </c>
      <c r="F243" s="7" t="s">
        <v>36</v>
      </c>
      <c r="G243" s="10">
        <v>1</v>
      </c>
      <c r="H243" s="9"/>
      <c r="I243" s="9"/>
      <c r="J243" s="14"/>
      <c r="K243" s="14"/>
      <c r="L243" s="14"/>
      <c r="M243" s="19"/>
      <c r="N243" s="14"/>
      <c r="O243" s="14"/>
      <c r="P243" s="14"/>
      <c r="Q243" s="14">
        <v>2024</v>
      </c>
      <c r="R243" s="15" t="s">
        <v>68</v>
      </c>
      <c r="S243" s="7"/>
      <c r="T243" s="14"/>
      <c r="U243" s="14"/>
      <c r="V243" s="14"/>
      <c r="W243" s="4" t="s">
        <v>44</v>
      </c>
      <c r="X243" s="12"/>
      <c r="Y243" s="12"/>
      <c r="Z243" s="4"/>
      <c r="AA243" s="11"/>
      <c r="AB243" s="11"/>
      <c r="AC243" s="4"/>
      <c r="AD243" s="13"/>
      <c r="AE243" s="11"/>
      <c r="AF243" s="11"/>
      <c r="AG243" s="4"/>
    </row>
    <row x14ac:dyDescent="0.25" r="244" customHeight="1" ht="15">
      <c r="A244" s="6">
        <v>33</v>
      </c>
      <c r="B244" s="6">
        <v>1</v>
      </c>
      <c r="C244" s="7" t="s">
        <v>224</v>
      </c>
      <c r="D244" s="8">
        <f>REPT("   ", B244*2) &amp; C244</f>
      </c>
      <c r="E244" s="7" t="s">
        <v>35</v>
      </c>
      <c r="F244" s="7" t="s">
        <v>36</v>
      </c>
      <c r="G244" s="10">
        <v>1</v>
      </c>
      <c r="H244" s="9"/>
      <c r="I244" s="9"/>
      <c r="J244" s="14"/>
      <c r="K244" s="14"/>
      <c r="L244" s="15"/>
      <c r="M244" s="7"/>
      <c r="N244" s="20"/>
      <c r="O244" s="15"/>
      <c r="P244" s="14"/>
      <c r="Q244" s="14">
        <v>2024</v>
      </c>
      <c r="R244" s="15" t="s">
        <v>51</v>
      </c>
      <c r="S244" s="7"/>
      <c r="T244" s="15"/>
      <c r="U244" s="15"/>
      <c r="V244" s="15"/>
      <c r="W244" s="4" t="s">
        <v>44</v>
      </c>
      <c r="X244" s="12"/>
      <c r="Y244" s="12"/>
      <c r="Z244" s="4"/>
      <c r="AA244" s="11"/>
      <c r="AB244" s="11"/>
      <c r="AC244" s="4"/>
      <c r="AD244" s="13"/>
      <c r="AE244" s="11"/>
      <c r="AF244" s="11"/>
      <c r="AG244" s="4"/>
    </row>
    <row x14ac:dyDescent="0.25" r="245" customHeight="1" ht="15">
      <c r="A245" s="6">
        <v>34</v>
      </c>
      <c r="B245" s="6">
        <f>IF(ISNUMBER(A245),
IF(AND(A245=INT(A245), MOD(A245, 10) = 0), 0,
IF(AND(A245=INT(A245), LEN(A245)=2), 1,
IF(AND(A245=INT(A245), LEN(A245)=3), 2,
LEN(A245) - FIND(".", A245) + 2)
)
),
"")</f>
      </c>
      <c r="C245" s="7" t="s">
        <v>225</v>
      </c>
      <c r="D245" s="8">
        <f>REPT("   ", B245*2) &amp; C245</f>
      </c>
      <c r="E245" s="7" t="s">
        <v>35</v>
      </c>
      <c r="F245" s="7" t="s">
        <v>36</v>
      </c>
      <c r="G245" s="10">
        <v>1</v>
      </c>
      <c r="H245" s="9"/>
      <c r="I245" s="9"/>
      <c r="J245" s="14"/>
      <c r="K245" s="14"/>
      <c r="L245" s="15"/>
      <c r="M245" s="7"/>
      <c r="N245" s="20"/>
      <c r="O245" s="15"/>
      <c r="P245" s="14"/>
      <c r="Q245" s="14">
        <v>2024</v>
      </c>
      <c r="R245" s="15" t="s">
        <v>51</v>
      </c>
      <c r="S245" s="7"/>
      <c r="T245" s="15"/>
      <c r="U245" s="15"/>
      <c r="V245" s="15"/>
      <c r="W245" s="4" t="s">
        <v>44</v>
      </c>
      <c r="X245" s="12"/>
      <c r="Y245" s="12"/>
      <c r="Z245" s="4"/>
      <c r="AA245" s="11"/>
      <c r="AB245" s="11"/>
      <c r="AC245" s="4"/>
      <c r="AD245" s="13"/>
      <c r="AE245" s="11"/>
      <c r="AF245" s="11"/>
      <c r="AG245" s="4"/>
    </row>
    <row x14ac:dyDescent="0.25" r="246" customHeight="1" ht="15">
      <c r="A246" s="6">
        <v>35</v>
      </c>
      <c r="B246" s="6">
        <f>IF(ISNUMBER(A246),
IF(AND(A246=INT(A246), MOD(A246, 10) = 0), 0,
IF(AND(A246=INT(A246), LEN(A246)=2), 1,
IF(AND(A246=INT(A246), LEN(A246)=3), 2,
LEN(A246) - FIND(".", A246) + 2)
)
),
"")</f>
      </c>
      <c r="C246" s="7" t="s">
        <v>226</v>
      </c>
      <c r="D246" s="8">
        <f>REPT("   ", B246*2) &amp; C246</f>
      </c>
      <c r="E246" s="7" t="s">
        <v>35</v>
      </c>
      <c r="F246" s="7" t="s">
        <v>36</v>
      </c>
      <c r="G246" s="10">
        <v>1</v>
      </c>
      <c r="H246" s="9"/>
      <c r="I246" s="9"/>
      <c r="J246" s="14"/>
      <c r="K246" s="14"/>
      <c r="L246" s="15"/>
      <c r="M246" s="7"/>
      <c r="N246" s="20"/>
      <c r="O246" s="15"/>
      <c r="P246" s="14"/>
      <c r="Q246" s="14"/>
      <c r="R246" s="15"/>
      <c r="S246" s="2"/>
      <c r="T246" s="15"/>
      <c r="U246" s="15"/>
      <c r="V246" s="15"/>
      <c r="W246" s="4" t="s">
        <v>44</v>
      </c>
      <c r="X246" s="12"/>
      <c r="Y246" s="12"/>
      <c r="Z246" s="4"/>
      <c r="AA246" s="11"/>
      <c r="AB246" s="11"/>
      <c r="AC246" s="4"/>
      <c r="AD246" s="13"/>
      <c r="AE246" s="11"/>
      <c r="AF246" s="11"/>
      <c r="AG246" s="4"/>
    </row>
    <row x14ac:dyDescent="0.25" r="247" customHeight="1" ht="15">
      <c r="A247" s="6">
        <v>36</v>
      </c>
      <c r="B247" s="6">
        <f>IF(ISNUMBER(A247),
IF(AND(A247=INT(A247), MOD(A247, 10) = 0), 0,
IF(AND(A247=INT(A247), LEN(A247)=2), 1,
IF(AND(A247=INT(A247), LEN(A247)=3), 2,
LEN(A247) - FIND(".", A247) + 2)
)
),
"")</f>
      </c>
      <c r="C247" s="7" t="s">
        <v>227</v>
      </c>
      <c r="D247" s="8">
        <f>REPT("   ", B247*2) &amp; C247</f>
      </c>
      <c r="E247" s="7" t="s">
        <v>35</v>
      </c>
      <c r="F247" s="7" t="s">
        <v>36</v>
      </c>
      <c r="G247" s="10">
        <v>1</v>
      </c>
      <c r="H247" s="9"/>
      <c r="I247" s="9"/>
      <c r="J247" s="14"/>
      <c r="K247" s="14"/>
      <c r="L247" s="15"/>
      <c r="M247" s="7"/>
      <c r="N247" s="20"/>
      <c r="O247" s="15"/>
      <c r="P247" s="14"/>
      <c r="Q247" s="14">
        <v>2024</v>
      </c>
      <c r="R247" s="15" t="s">
        <v>51</v>
      </c>
      <c r="S247" s="7"/>
      <c r="T247" s="15" t="s">
        <v>228</v>
      </c>
      <c r="U247" s="15" t="s">
        <v>229</v>
      </c>
      <c r="V247" s="15"/>
      <c r="W247" s="4" t="s">
        <v>44</v>
      </c>
      <c r="X247" s="12"/>
      <c r="Y247" s="12"/>
      <c r="Z247" s="4"/>
      <c r="AA247" s="11"/>
      <c r="AB247" s="11"/>
      <c r="AC247" s="4"/>
      <c r="AD247" s="13"/>
      <c r="AE247" s="11"/>
      <c r="AF247" s="11"/>
      <c r="AG247" s="4"/>
    </row>
    <row x14ac:dyDescent="0.25" r="248" customHeight="1" ht="15">
      <c r="A248" s="6">
        <v>40</v>
      </c>
      <c r="B248" s="6">
        <f>IF(ISNUMBER(A248),
IF(AND(A248=INT(A248), MOD(A248, 10) = 0), 0,
IF(AND(A248=INT(A248), LEN(A248)=2), 1,
IF(AND(A248=INT(A248), LEN(A248)=3), 2,
LEN(A248) - FIND(".", A248) + 2)
)
),
"")</f>
      </c>
      <c r="C248" s="7" t="s">
        <v>230</v>
      </c>
      <c r="D248" s="8">
        <f>REPT("   ", B248*2) &amp; C248</f>
      </c>
      <c r="E248" s="9"/>
      <c r="F248" s="9"/>
      <c r="G248" s="10"/>
      <c r="H248" s="9"/>
      <c r="I248" s="9"/>
      <c r="J248" s="18"/>
      <c r="K248" s="18"/>
      <c r="L248" s="2"/>
      <c r="M248" s="2"/>
      <c r="N248" s="1"/>
      <c r="O248" s="2"/>
      <c r="P248" s="18"/>
      <c r="Q248" s="18"/>
      <c r="R248" s="2"/>
      <c r="S248" s="2"/>
      <c r="T248" s="2"/>
      <c r="U248" s="2"/>
      <c r="V248" s="2"/>
      <c r="W248" s="4"/>
      <c r="X248" s="12"/>
      <c r="Y248" s="12"/>
      <c r="Z248" s="4"/>
      <c r="AA248" s="11"/>
      <c r="AB248" s="11"/>
      <c r="AC248" s="4"/>
      <c r="AD248" s="13"/>
      <c r="AE248" s="11"/>
      <c r="AF248" s="11"/>
      <c r="AG248" s="4"/>
    </row>
    <row x14ac:dyDescent="0.25" r="249" customHeight="1" ht="15">
      <c r="A249" s="6">
        <v>41</v>
      </c>
      <c r="B249" s="6">
        <f>IF(ISNUMBER(A249),
IF(AND(A249=INT(A249), MOD(A249, 10) = 0), 0,
IF(AND(A249=INT(A249), LEN(A249)=2), 1,
IF(AND(A249=INT(A249), LEN(A249)=3), 2,
LEN(A249) - FIND(".", A249) + 2)
)
),
"")</f>
      </c>
      <c r="C249" s="7" t="s">
        <v>231</v>
      </c>
      <c r="D249" s="8">
        <f>REPT("   ", B249*2) &amp; C249</f>
      </c>
      <c r="E249" s="7" t="s">
        <v>35</v>
      </c>
      <c r="F249" s="7" t="s">
        <v>36</v>
      </c>
      <c r="G249" s="10">
        <v>1</v>
      </c>
      <c r="H249" s="9"/>
      <c r="I249" s="9"/>
      <c r="J249" s="14"/>
      <c r="K249" s="14"/>
      <c r="L249" s="15"/>
      <c r="M249" s="7"/>
      <c r="N249" s="20"/>
      <c r="O249" s="15"/>
      <c r="P249" s="14"/>
      <c r="Q249" s="14"/>
      <c r="R249" s="15"/>
      <c r="S249" s="7"/>
      <c r="T249" s="15"/>
      <c r="U249" s="15"/>
      <c r="V249" s="15"/>
      <c r="W249" s="4"/>
      <c r="X249" s="12"/>
      <c r="Y249" s="12"/>
      <c r="Z249" s="4"/>
      <c r="AA249" s="11"/>
      <c r="AB249" s="11"/>
      <c r="AC249" s="4"/>
      <c r="AD249" s="13"/>
      <c r="AE249" s="11"/>
      <c r="AF249" s="11"/>
      <c r="AG249" s="4"/>
    </row>
    <row x14ac:dyDescent="0.25" r="250" customHeight="1" ht="15">
      <c r="A250" s="1">
        <v>60</v>
      </c>
      <c r="B250" s="6">
        <f>IF(ISNUMBER(A250),
IF(AND(A250=INT(A250), MOD(A250, 10) = 0), 0,
IF(AND(A250=INT(A250), LEN(A250)=2), 1,
IF(AND(A250=INT(A250), LEN(A250)=3), 2,
LEN(A250) - FIND(".", A250) + 2)
)
),
"")</f>
      </c>
      <c r="C250" s="7" t="s">
        <v>232</v>
      </c>
      <c r="D250" s="8">
        <f>REPT("   ", B250*2) &amp; C250</f>
      </c>
      <c r="E250" s="9"/>
      <c r="F250" s="9"/>
      <c r="G250" s="10"/>
      <c r="H250" s="9"/>
      <c r="I250" s="9"/>
      <c r="J250" s="11"/>
      <c r="K250" s="11"/>
      <c r="L250" s="6"/>
      <c r="M250" s="1"/>
      <c r="N250" s="6"/>
      <c r="O250" s="6"/>
      <c r="P250" s="11"/>
      <c r="Q250" s="11"/>
      <c r="R250" s="6"/>
      <c r="S250" s="1"/>
      <c r="T250" s="6"/>
      <c r="U250" s="6"/>
      <c r="V250" s="6"/>
      <c r="W250" s="4"/>
      <c r="X250" s="12"/>
      <c r="Y250" s="12"/>
      <c r="Z250" s="4"/>
      <c r="AA250" s="11"/>
      <c r="AB250" s="11"/>
      <c r="AC250" s="4"/>
      <c r="AD250" s="13"/>
      <c r="AE250" s="11"/>
      <c r="AF250" s="11"/>
      <c r="AG250" s="4"/>
    </row>
    <row x14ac:dyDescent="0.25" r="251" customHeight="1" ht="15">
      <c r="A251" s="6">
        <v>62</v>
      </c>
      <c r="B251" s="6">
        <f>IF(ISNUMBER(A251),
IF(AND(A251=INT(A251), MOD(A251, 10) = 0), 0,
IF(AND(A251=INT(A251), LEN(A251)=2), 1,
IF(AND(A251=INT(A251), LEN(A251)=3), 2,
LEN(A251) - FIND(".", A251) + 2)
)
),
"")</f>
      </c>
      <c r="C251" s="7" t="s">
        <v>233</v>
      </c>
      <c r="D251" s="8">
        <f>REPT("   ", B251*2) &amp; C251</f>
      </c>
      <c r="E251" s="9"/>
      <c r="F251" s="9"/>
      <c r="G251" s="10"/>
      <c r="H251" s="9"/>
      <c r="I251" s="9"/>
      <c r="J251" s="14"/>
      <c r="K251" s="14"/>
      <c r="L251" s="15"/>
      <c r="M251" s="7"/>
      <c r="N251" s="20"/>
      <c r="O251" s="15"/>
      <c r="P251" s="14"/>
      <c r="Q251" s="14"/>
      <c r="R251" s="15"/>
      <c r="S251" s="7"/>
      <c r="T251" s="15"/>
      <c r="U251" s="15"/>
      <c r="V251" s="15"/>
      <c r="W251" s="4"/>
      <c r="X251" s="12"/>
      <c r="Y251" s="12"/>
      <c r="Z251" s="4"/>
      <c r="AA251" s="11"/>
      <c r="AB251" s="11"/>
      <c r="AC251" s="4"/>
      <c r="AD251" s="13"/>
      <c r="AE251" s="11"/>
      <c r="AF251" s="11"/>
      <c r="AG251" s="4"/>
    </row>
    <row x14ac:dyDescent="0.25" r="252" customHeight="1" ht="102">
      <c r="A252" s="6">
        <v>70</v>
      </c>
      <c r="B252" s="6">
        <f>IF(ISNUMBER(A252),
IF(AND(A252=INT(A252), MOD(A252, 10) = 0), 0,
IF(AND(A252=INT(A252), LEN(A252)=2), 1,
IF(AND(A252=INT(A252), LEN(A252)=3), 2,
LEN(A252) - FIND(".", A252) + 2)
)
),
"")</f>
      </c>
      <c r="C252" s="15" t="s">
        <v>234</v>
      </c>
      <c r="D252" s="8">
        <f>REPT("   ", B252*2) &amp; C252</f>
      </c>
      <c r="E252" s="9"/>
      <c r="F252" s="9"/>
      <c r="G252" s="10"/>
      <c r="H252" s="9"/>
      <c r="I252" s="9"/>
      <c r="J252" s="14"/>
      <c r="K252" s="14">
        <v>178500</v>
      </c>
      <c r="L252" s="15" t="s">
        <v>235</v>
      </c>
      <c r="M252" s="7" t="s">
        <v>236</v>
      </c>
      <c r="N252" s="20"/>
      <c r="O252" s="15"/>
      <c r="P252" s="14">
        <v>1</v>
      </c>
      <c r="Q252" s="14">
        <v>2024</v>
      </c>
      <c r="R252" s="15" t="s">
        <v>51</v>
      </c>
      <c r="S252" s="7"/>
      <c r="T252" s="7" t="s">
        <v>237</v>
      </c>
      <c r="U252" s="15"/>
      <c r="V252" s="15"/>
      <c r="W252" s="4" t="s">
        <v>44</v>
      </c>
      <c r="X252" s="12">
        <f>0.9*$J252</f>
      </c>
      <c r="Y252" s="12">
        <f>1.5*J252</f>
      </c>
      <c r="Z252" s="4" t="s">
        <v>45</v>
      </c>
      <c r="AA252" s="11">
        <f>0.9*K252</f>
      </c>
      <c r="AB252" s="11">
        <f>1.3*K252</f>
      </c>
      <c r="AC252" s="4" t="s">
        <v>45</v>
      </c>
      <c r="AD252" s="13">
        <v>0.1</v>
      </c>
      <c r="AE252" s="11">
        <v>1</v>
      </c>
      <c r="AF252" s="11">
        <v>0</v>
      </c>
      <c r="AG252" s="4" t="s">
        <v>46</v>
      </c>
    </row>
    <row x14ac:dyDescent="0.25" r="253" customHeight="1" ht="89.25">
      <c r="A253" s="6">
        <v>71</v>
      </c>
      <c r="B253" s="6">
        <f>IF(ISNUMBER(A253),
IF(AND(A253=INT(A253), MOD(A253, 10) = 0), 0,
IF(AND(A253=INT(A253), LEN(A253)=2), 1,
IF(AND(A253=INT(A253), LEN(A253)=3), 2,
LEN(A253) - FIND(".", A253) + 2)
)
),
"")</f>
      </c>
      <c r="C253" s="7" t="s">
        <v>238</v>
      </c>
      <c r="D253" s="8">
        <f>REPT("   ", B253*2) &amp; C253</f>
      </c>
      <c r="E253" s="9"/>
      <c r="F253" s="9"/>
      <c r="G253" s="10"/>
      <c r="H253" s="9"/>
      <c r="I253" s="9"/>
      <c r="J253" s="14"/>
      <c r="K253" s="14">
        <v>178500</v>
      </c>
      <c r="L253" s="15" t="s">
        <v>235</v>
      </c>
      <c r="M253" s="7" t="s">
        <v>239</v>
      </c>
      <c r="N253" s="20"/>
      <c r="O253" s="15"/>
      <c r="P253" s="14">
        <v>1</v>
      </c>
      <c r="Q253" s="14">
        <v>2024</v>
      </c>
      <c r="R253" s="15" t="s">
        <v>51</v>
      </c>
      <c r="S253" s="7"/>
      <c r="T253" s="7" t="s">
        <v>237</v>
      </c>
      <c r="U253" s="15"/>
      <c r="V253" s="15"/>
      <c r="W253" s="4" t="s">
        <v>44</v>
      </c>
      <c r="X253" s="12">
        <f>0.9*$J253</f>
      </c>
      <c r="Y253" s="12">
        <f>1.5*J253</f>
      </c>
      <c r="Z253" s="4" t="s">
        <v>45</v>
      </c>
      <c r="AA253" s="11">
        <f>0.9*K253</f>
      </c>
      <c r="AB253" s="11">
        <f>1.3*K253</f>
      </c>
      <c r="AC253" s="4" t="s">
        <v>45</v>
      </c>
      <c r="AD253" s="13">
        <v>0.1</v>
      </c>
      <c r="AE253" s="11">
        <v>1</v>
      </c>
      <c r="AF253" s="11">
        <v>0</v>
      </c>
      <c r="AG253" s="4" t="s">
        <v>46</v>
      </c>
    </row>
    <row x14ac:dyDescent="0.25" r="254" customHeight="1" ht="89.25">
      <c r="A254" s="20">
        <v>711</v>
      </c>
      <c r="B254" s="6">
        <f>IF(ISNUMBER(A254),
IF(AND(A254=INT(A254), MOD(A254, 10) = 0), 0,
IF(AND(A254=INT(A254), LEN(A254)=2), 1,
IF(AND(A254=INT(A254), LEN(A254)=3), 2,
LEN(A254) - FIND(".", A254) + 2)
)
),
"")</f>
      </c>
      <c r="C254" s="7" t="s">
        <v>240</v>
      </c>
      <c r="D254" s="8">
        <f>REPT("   ", B254*2) &amp; C254</f>
      </c>
      <c r="E254" s="7" t="s">
        <v>241</v>
      </c>
      <c r="F254" s="9"/>
      <c r="G254" s="10"/>
      <c r="H254" s="9"/>
      <c r="I254" s="9"/>
      <c r="J254" s="14"/>
      <c r="K254" s="14">
        <v>178500</v>
      </c>
      <c r="L254" s="15" t="s">
        <v>235</v>
      </c>
      <c r="M254" s="7" t="s">
        <v>242</v>
      </c>
      <c r="N254" s="20"/>
      <c r="O254" s="15"/>
      <c r="P254" s="14">
        <v>1</v>
      </c>
      <c r="Q254" s="14">
        <v>2024</v>
      </c>
      <c r="R254" s="15" t="s">
        <v>51</v>
      </c>
      <c r="S254" s="7"/>
      <c r="T254" s="7" t="s">
        <v>237</v>
      </c>
      <c r="U254" s="15"/>
      <c r="V254" s="15"/>
      <c r="W254" s="4" t="s">
        <v>44</v>
      </c>
      <c r="X254" s="12">
        <f>0.9*$J254</f>
      </c>
      <c r="Y254" s="12">
        <f>1.5*J254</f>
      </c>
      <c r="Z254" s="4" t="s">
        <v>45</v>
      </c>
      <c r="AA254" s="11">
        <f>0.9*K254</f>
      </c>
      <c r="AB254" s="11">
        <f>1.3*K254</f>
      </c>
      <c r="AC254" s="4" t="s">
        <v>45</v>
      </c>
      <c r="AD254" s="13">
        <v>0.1</v>
      </c>
      <c r="AE254" s="11">
        <v>1</v>
      </c>
      <c r="AF254" s="11">
        <v>0</v>
      </c>
      <c r="AG254" s="4" t="s">
        <v>46</v>
      </c>
    </row>
    <row x14ac:dyDescent="0.25" r="255" customHeight="1" ht="15">
      <c r="A255" s="20">
        <v>712</v>
      </c>
      <c r="B255" s="6">
        <f>IF(ISNUMBER(A255),
IF(AND(A255=INT(A255), MOD(A255, 10) = 0), 0,
IF(AND(A255=INT(A255), LEN(A255)=2), 1,
IF(AND(A255=INT(A255), LEN(A255)=3), 2,
LEN(A255) - FIND(".", A255) + 2)
)
),
"")</f>
      </c>
      <c r="C255" s="7" t="s">
        <v>243</v>
      </c>
      <c r="D255" s="8">
        <f>REPT("   ", B255*2) &amp; C255</f>
      </c>
      <c r="E255" s="7" t="s">
        <v>241</v>
      </c>
      <c r="F255" s="9"/>
      <c r="G255" s="10"/>
      <c r="H255" s="9"/>
      <c r="I255" s="9"/>
      <c r="J255" s="14"/>
      <c r="K255" s="14"/>
      <c r="L255" s="15"/>
      <c r="M255" s="7"/>
      <c r="N255" s="20"/>
      <c r="O255" s="15"/>
      <c r="P255" s="14"/>
      <c r="Q255" s="14"/>
      <c r="R255" s="15"/>
      <c r="S255" s="7"/>
      <c r="T255" s="7"/>
      <c r="U255" s="15"/>
      <c r="V255" s="15"/>
      <c r="W255" s="4"/>
      <c r="X255" s="12"/>
      <c r="Y255" s="12"/>
      <c r="Z255" s="4"/>
      <c r="AA255" s="11"/>
      <c r="AB255" s="11"/>
      <c r="AC255" s="4"/>
      <c r="AD255" s="13"/>
      <c r="AE255" s="11"/>
      <c r="AF255" s="11"/>
      <c r="AG255" s="4"/>
    </row>
    <row x14ac:dyDescent="0.25" r="256" customHeight="1" ht="15">
      <c r="A256" s="20">
        <v>713</v>
      </c>
      <c r="B256" s="6">
        <f>IF(ISNUMBER(A256),
IF(AND(A256=INT(A256), MOD(A256, 10) = 0), 0,
IF(AND(A256=INT(A256), LEN(A256)=2), 1,
IF(AND(A256=INT(A256), LEN(A256)=3), 2,
LEN(A256) - FIND(".", A256) + 2)
)
),
"")</f>
      </c>
      <c r="C256" s="7" t="s">
        <v>244</v>
      </c>
      <c r="D256" s="8">
        <f>REPT("   ", B256*2) &amp; C256</f>
      </c>
      <c r="E256" s="7" t="s">
        <v>241</v>
      </c>
      <c r="F256" s="9"/>
      <c r="G256" s="10"/>
      <c r="H256" s="9"/>
      <c r="I256" s="9"/>
      <c r="J256" s="14"/>
      <c r="K256" s="14"/>
      <c r="L256" s="15"/>
      <c r="M256" s="7"/>
      <c r="N256" s="20"/>
      <c r="O256" s="15"/>
      <c r="P256" s="14"/>
      <c r="Q256" s="14"/>
      <c r="R256" s="15"/>
      <c r="S256" s="7"/>
      <c r="T256" s="41"/>
      <c r="U256" s="25"/>
      <c r="V256" s="15"/>
      <c r="W256" s="4"/>
      <c r="X256" s="12"/>
      <c r="Y256" s="12"/>
      <c r="Z256" s="4"/>
      <c r="AA256" s="11"/>
      <c r="AB256" s="11"/>
      <c r="AC256" s="4"/>
      <c r="AD256" s="13"/>
      <c r="AE256" s="11"/>
      <c r="AF256" s="11"/>
      <c r="AG256" s="4"/>
    </row>
    <row x14ac:dyDescent="0.25" r="257" customHeight="1" ht="15">
      <c r="A257" s="20">
        <v>714</v>
      </c>
      <c r="B257" s="6">
        <f>IF(ISNUMBER(A257),
IF(AND(A257=INT(A257), MOD(A257, 10) = 0), 0,
IF(AND(A257=INT(A257), LEN(A257)=2), 1,
IF(AND(A257=INT(A257), LEN(A257)=3), 2,
LEN(A257) - FIND(".", A257) + 2)
)
),
"")</f>
      </c>
      <c r="C257" s="7" t="s">
        <v>245</v>
      </c>
      <c r="D257" s="8">
        <f>REPT("   ", B257*2) &amp; C257</f>
      </c>
      <c r="E257" s="7" t="s">
        <v>241</v>
      </c>
      <c r="F257" s="9"/>
      <c r="G257" s="10"/>
      <c r="H257" s="9"/>
      <c r="I257" s="9"/>
      <c r="J257" s="14"/>
      <c r="K257" s="14"/>
      <c r="L257" s="15"/>
      <c r="M257" s="7"/>
      <c r="N257" s="20"/>
      <c r="O257" s="15"/>
      <c r="P257" s="14"/>
      <c r="Q257" s="14"/>
      <c r="R257" s="15"/>
      <c r="S257" s="7"/>
      <c r="T257" s="41"/>
      <c r="U257" s="25"/>
      <c r="V257" s="15"/>
      <c r="W257" s="4"/>
      <c r="X257" s="12"/>
      <c r="Y257" s="12"/>
      <c r="Z257" s="4"/>
      <c r="AA257" s="11"/>
      <c r="AB257" s="11"/>
      <c r="AC257" s="4"/>
      <c r="AD257" s="13"/>
      <c r="AE257" s="11"/>
      <c r="AF257" s="11"/>
      <c r="AG257" s="4"/>
    </row>
    <row x14ac:dyDescent="0.25" r="258" customHeight="1" ht="15">
      <c r="A258" s="6">
        <v>74</v>
      </c>
      <c r="B258" s="6">
        <f>IF(ISNUMBER(A258),
IF(AND(A258=INT(A258), MOD(A258, 10) = 0), 0,
IF(AND(A258=INT(A258), LEN(A258)=2), 1,
IF(AND(A258=INT(A258), LEN(A258)=3), 2,
LEN(A258) - FIND(".", A258) + 2)
)
),
"")</f>
      </c>
      <c r="C258" s="7" t="s">
        <v>246</v>
      </c>
      <c r="D258" s="8">
        <f>REPT("   ", B258*2) &amp; C258</f>
      </c>
      <c r="E258" s="9"/>
      <c r="F258" s="9"/>
      <c r="G258" s="10"/>
      <c r="H258" s="9"/>
      <c r="I258" s="9"/>
      <c r="J258" s="14"/>
      <c r="K258" s="14"/>
      <c r="L258" s="15"/>
      <c r="M258" s="7"/>
      <c r="N258" s="20"/>
      <c r="O258" s="15"/>
      <c r="P258" s="14"/>
      <c r="Q258" s="14"/>
      <c r="R258" s="15"/>
      <c r="S258" s="7"/>
      <c r="T258" s="41"/>
      <c r="U258" s="25"/>
      <c r="V258" s="15"/>
      <c r="W258" s="4"/>
      <c r="X258" s="12"/>
      <c r="Y258" s="12"/>
      <c r="Z258" s="4"/>
      <c r="AA258" s="11"/>
      <c r="AB258" s="11"/>
      <c r="AC258" s="4"/>
      <c r="AD258" s="13"/>
      <c r="AE258" s="11"/>
      <c r="AF258" s="11"/>
      <c r="AG258" s="4"/>
    </row>
    <row x14ac:dyDescent="0.25" r="259" customHeight="1" ht="15">
      <c r="A259" s="6">
        <v>742</v>
      </c>
      <c r="B259" s="6">
        <f>IF(ISNUMBER(A259),
IF(AND(A259=INT(A259), MOD(A259, 10) = 0), 0,
IF(AND(A259=INT(A259), LEN(A259)=2), 1,
IF(AND(A259=INT(A259), LEN(A259)=3), 2,
LEN(A259) - FIND(".", A259) + 2)
)
),
"")</f>
      </c>
      <c r="C259" s="7" t="s">
        <v>247</v>
      </c>
      <c r="D259" s="8">
        <f>REPT("   ", B259*2) &amp; C259</f>
      </c>
      <c r="E259" s="9"/>
      <c r="F259" s="9"/>
      <c r="G259" s="10"/>
      <c r="H259" s="9"/>
      <c r="I259" s="9"/>
      <c r="J259" s="14"/>
      <c r="K259" s="14"/>
      <c r="L259" s="15"/>
      <c r="M259" s="7"/>
      <c r="N259" s="20"/>
      <c r="O259" s="15"/>
      <c r="P259" s="14"/>
      <c r="Q259" s="14"/>
      <c r="R259" s="15"/>
      <c r="S259" s="7"/>
      <c r="T259" s="41"/>
      <c r="U259" s="25"/>
      <c r="V259" s="15"/>
      <c r="W259" s="4"/>
      <c r="X259" s="12"/>
      <c r="Y259" s="12"/>
      <c r="Z259" s="4"/>
      <c r="AA259" s="11"/>
      <c r="AB259" s="11"/>
      <c r="AC259" s="4"/>
      <c r="AD259" s="13"/>
      <c r="AE259" s="11"/>
      <c r="AF259" s="11"/>
      <c r="AG259" s="4"/>
    </row>
    <row x14ac:dyDescent="0.25" r="260" customHeight="1" ht="15">
      <c r="A260" s="6">
        <v>743</v>
      </c>
      <c r="B260" s="6">
        <f>IF(ISNUMBER(A260),
IF(AND(A260=INT(A260), MOD(A260, 10) = 0), 0,
IF(AND(A260=INT(A260), LEN(A260)=2), 1,
IF(AND(A260=INT(A260), LEN(A260)=3), 2,
LEN(A260) - FIND(".", A260) + 2)
)
),
"")</f>
      </c>
      <c r="C260" s="7" t="s">
        <v>248</v>
      </c>
      <c r="D260" s="8">
        <f>REPT("   ", B260*2) &amp; C260</f>
      </c>
      <c r="E260" s="9"/>
      <c r="F260" s="9"/>
      <c r="G260" s="10"/>
      <c r="H260" s="9"/>
      <c r="I260" s="9"/>
      <c r="J260" s="14"/>
      <c r="K260" s="14"/>
      <c r="L260" s="15"/>
      <c r="M260" s="7"/>
      <c r="N260" s="20"/>
      <c r="O260" s="15"/>
      <c r="P260" s="14"/>
      <c r="Q260" s="14"/>
      <c r="R260" s="15"/>
      <c r="S260" s="7"/>
      <c r="T260" s="41"/>
      <c r="U260" s="25"/>
      <c r="V260" s="15"/>
      <c r="W260" s="4"/>
      <c r="X260" s="12"/>
      <c r="Y260" s="12"/>
      <c r="Z260" s="4"/>
      <c r="AA260" s="11"/>
      <c r="AB260" s="11"/>
      <c r="AC260" s="4"/>
      <c r="AD260" s="13"/>
      <c r="AE260" s="11"/>
      <c r="AF260" s="11"/>
      <c r="AG260" s="4"/>
    </row>
    <row x14ac:dyDescent="0.25" r="261" customHeight="1" ht="15">
      <c r="A261" s="38">
        <v>743.1</v>
      </c>
      <c r="B261" s="6">
        <f>IF(ISNUMBER(A261),
IF(AND(A261=INT(A261), MOD(A261, 10) = 0), 0,
IF(AND(A261=INT(A261), LEN(A261)=2), 1,
IF(AND(A261=INT(A261), LEN(A261)=3), 2,
LEN(A261) - FIND(".", A261) + 2)
)
),
"")</f>
      </c>
      <c r="C261" s="7" t="s">
        <v>249</v>
      </c>
      <c r="D261" s="8">
        <f>REPT("   ", B261*2) &amp; C261</f>
      </c>
      <c r="E261" s="7" t="s">
        <v>35</v>
      </c>
      <c r="F261" s="7" t="s">
        <v>36</v>
      </c>
      <c r="G261" s="10">
        <v>1</v>
      </c>
      <c r="H261" s="9"/>
      <c r="I261" s="9"/>
      <c r="J261" s="14"/>
      <c r="K261" s="14"/>
      <c r="L261" s="15"/>
      <c r="M261" s="7"/>
      <c r="N261" s="20"/>
      <c r="O261" s="15"/>
      <c r="P261" s="14"/>
      <c r="Q261" s="14"/>
      <c r="R261" s="15"/>
      <c r="S261" s="7"/>
      <c r="T261" s="41"/>
      <c r="U261" s="25"/>
      <c r="V261" s="15"/>
      <c r="W261" s="4"/>
      <c r="X261" s="12">
        <f>0.8*$I261</f>
      </c>
      <c r="Y261" s="12">
        <f>2*J261</f>
      </c>
      <c r="Z261" s="4" t="s">
        <v>45</v>
      </c>
      <c r="AA261" s="11">
        <f>0.8*K261</f>
      </c>
      <c r="AB261" s="11">
        <f>2*K261</f>
      </c>
      <c r="AC261" s="4" t="s">
        <v>45</v>
      </c>
      <c r="AD261" s="13">
        <v>0.1</v>
      </c>
      <c r="AE261" s="11">
        <v>1</v>
      </c>
      <c r="AF261" s="11">
        <v>0</v>
      </c>
      <c r="AG261" s="4" t="s">
        <v>46</v>
      </c>
    </row>
    <row x14ac:dyDescent="0.25" r="262" customHeight="1" ht="15">
      <c r="A262" s="38">
        <v>743.2</v>
      </c>
      <c r="B262" s="6">
        <f>IF(ISNUMBER(A262),
IF(AND(A262=INT(A262), MOD(A262, 10) = 0), 0,
IF(AND(A262=INT(A262), LEN(A262)=2), 1,
IF(AND(A262=INT(A262), LEN(A262)=3), 2,
LEN(A262) - FIND(".", A262) + 2)
)
),
"")</f>
      </c>
      <c r="C262" s="7" t="s">
        <v>250</v>
      </c>
      <c r="D262" s="8">
        <f>REPT("   ", B262*2) &amp; C262</f>
      </c>
      <c r="E262" s="9"/>
      <c r="F262" s="9"/>
      <c r="G262" s="10"/>
      <c r="H262" s="9"/>
      <c r="I262" s="9"/>
      <c r="J262" s="14"/>
      <c r="K262" s="14"/>
      <c r="L262" s="15"/>
      <c r="M262" s="7"/>
      <c r="N262" s="20"/>
      <c r="O262" s="15"/>
      <c r="P262" s="14"/>
      <c r="Q262" s="14"/>
      <c r="R262" s="15"/>
      <c r="S262" s="7"/>
      <c r="T262" s="41"/>
      <c r="U262" s="25"/>
      <c r="V262" s="15"/>
      <c r="W262" s="4"/>
      <c r="X262" s="12"/>
      <c r="Y262" s="12"/>
      <c r="Z262" s="4"/>
      <c r="AA262" s="11"/>
      <c r="AB262" s="11"/>
      <c r="AC262" s="4"/>
      <c r="AD262" s="13"/>
      <c r="AE262" s="11"/>
      <c r="AF262" s="11"/>
      <c r="AG262" s="4"/>
    </row>
    <row x14ac:dyDescent="0.25" r="263" customHeight="1" ht="39">
      <c r="A263" s="38">
        <v>743.21</v>
      </c>
      <c r="B263" s="6">
        <f>IF(ISNUMBER(A263),
IF(AND(A263=INT(A263), MOD(A263, 10) = 0), 0,
IF(AND(A263=INT(A263), LEN(A263)=2), 1,
IF(AND(A263=INT(A263), LEN(A263)=3), 2,
LEN(A263) - FIND(".", A263) + 2)
)
),
"")</f>
      </c>
      <c r="C263" s="7" t="s">
        <v>251</v>
      </c>
      <c r="D263" s="8">
        <f>REPT("   ", B263*2) &amp; C263</f>
      </c>
      <c r="E263" s="7" t="s">
        <v>35</v>
      </c>
      <c r="F263" s="7" t="s">
        <v>252</v>
      </c>
      <c r="G263" s="10">
        <v>1</v>
      </c>
      <c r="H263" s="9"/>
      <c r="I263" s="9"/>
      <c r="J263" s="14">
        <v>1159000</v>
      </c>
      <c r="K263" s="14"/>
      <c r="L263" s="15"/>
      <c r="M263" s="7"/>
      <c r="N263" s="20"/>
      <c r="O263" s="15"/>
      <c r="P263" s="14"/>
      <c r="Q263" s="14">
        <v>2023</v>
      </c>
      <c r="R263" s="15" t="s">
        <v>253</v>
      </c>
      <c r="S263" s="7" t="s">
        <v>133</v>
      </c>
      <c r="T263" s="41"/>
      <c r="U263" s="25"/>
      <c r="V263" s="15" t="s">
        <v>254</v>
      </c>
      <c r="W263" s="4"/>
      <c r="X263" s="12">
        <v>1008000</v>
      </c>
      <c r="Y263" s="12">
        <v>1310000</v>
      </c>
      <c r="Z263" s="4" t="s">
        <v>45</v>
      </c>
      <c r="AA263" s="11">
        <f>0.8*K263</f>
      </c>
      <c r="AB263" s="11">
        <f>2*K263</f>
      </c>
      <c r="AC263" s="4" t="s">
        <v>45</v>
      </c>
      <c r="AD263" s="13">
        <v>0.1</v>
      </c>
      <c r="AE263" s="11">
        <v>1</v>
      </c>
      <c r="AF263" s="11">
        <v>0</v>
      </c>
      <c r="AG263" s="4" t="s">
        <v>46</v>
      </c>
    </row>
    <row x14ac:dyDescent="0.25" r="264" customHeight="1" ht="39">
      <c r="A264" s="38">
        <v>743.22</v>
      </c>
      <c r="B264" s="6">
        <f>IF(ISNUMBER(A264),
IF(AND(A264=INT(A264), MOD(A264, 10) = 0), 0,
IF(AND(A264=INT(A264), LEN(A264)=2), 1,
IF(AND(A264=INT(A264), LEN(A264)=3), 2,
LEN(A264) - FIND(".", A264) + 2)
)
),
"")</f>
      </c>
      <c r="C264" s="7" t="s">
        <v>255</v>
      </c>
      <c r="D264" s="8">
        <f>REPT("   ", B264*2) &amp; C264</f>
      </c>
      <c r="E264" s="7" t="s">
        <v>35</v>
      </c>
      <c r="F264" s="7" t="s">
        <v>256</v>
      </c>
      <c r="G264" s="10">
        <v>1</v>
      </c>
      <c r="H264" s="9"/>
      <c r="I264" s="9"/>
      <c r="J264" s="14">
        <v>6750000</v>
      </c>
      <c r="K264" s="14"/>
      <c r="L264" s="15"/>
      <c r="M264" s="7"/>
      <c r="N264" s="20"/>
      <c r="O264" s="15"/>
      <c r="P264" s="14"/>
      <c r="Q264" s="14">
        <v>2022</v>
      </c>
      <c r="R264" s="15" t="s">
        <v>253</v>
      </c>
      <c r="S264" s="7" t="s">
        <v>257</v>
      </c>
      <c r="T264" s="41"/>
      <c r="U264" s="25"/>
      <c r="V264" s="15"/>
      <c r="W264" s="4"/>
      <c r="X264" s="12">
        <v>5000000</v>
      </c>
      <c r="Y264" s="12">
        <v>8500000</v>
      </c>
      <c r="Z264" s="4" t="s">
        <v>45</v>
      </c>
      <c r="AA264" s="11">
        <f>0.8*K264</f>
      </c>
      <c r="AB264" s="11">
        <f>2*K264</f>
      </c>
      <c r="AC264" s="4" t="s">
        <v>45</v>
      </c>
      <c r="AD264" s="13">
        <v>0.1</v>
      </c>
      <c r="AE264" s="11">
        <v>1</v>
      </c>
      <c r="AF264" s="11">
        <v>0</v>
      </c>
      <c r="AG264" s="4" t="s">
        <v>46</v>
      </c>
    </row>
    <row x14ac:dyDescent="0.25" r="265" customHeight="1" ht="39">
      <c r="A265" s="38">
        <v>743.23</v>
      </c>
      <c r="B265" s="6">
        <f>IF(ISNUMBER(A265),
IF(AND(A265=INT(A265), MOD(A265, 10) = 0), 0,
IF(AND(A265=INT(A265), LEN(A265)=2), 1,
IF(AND(A265=INT(A265), LEN(A265)=3), 2,
LEN(A265) - FIND(".", A265) + 2)
)
),
"")</f>
      </c>
      <c r="C265" s="7" t="s">
        <v>258</v>
      </c>
      <c r="D265" s="8">
        <f>REPT("   ", B265*2) &amp; C265</f>
      </c>
      <c r="E265" s="7" t="s">
        <v>35</v>
      </c>
      <c r="F265" s="7" t="s">
        <v>259</v>
      </c>
      <c r="G265" s="10">
        <v>1</v>
      </c>
      <c r="H265" s="9"/>
      <c r="I265" s="9"/>
      <c r="J265" s="14">
        <v>1159000</v>
      </c>
      <c r="K265" s="14"/>
      <c r="L265" s="15"/>
      <c r="M265" s="7"/>
      <c r="N265" s="20"/>
      <c r="O265" s="15"/>
      <c r="P265" s="14"/>
      <c r="Q265" s="14">
        <v>2023</v>
      </c>
      <c r="R265" s="15" t="s">
        <v>253</v>
      </c>
      <c r="S265" s="7" t="s">
        <v>133</v>
      </c>
      <c r="T265" s="41"/>
      <c r="U265" s="25"/>
      <c r="V265" s="15" t="s">
        <v>254</v>
      </c>
      <c r="W265" s="4"/>
      <c r="X265" s="12">
        <v>1008000</v>
      </c>
      <c r="Y265" s="12">
        <v>1310000</v>
      </c>
      <c r="Z265" s="4" t="s">
        <v>45</v>
      </c>
      <c r="AA265" s="11">
        <f>0.8*K265</f>
      </c>
      <c r="AB265" s="11">
        <f>2*K265</f>
      </c>
      <c r="AC265" s="4" t="s">
        <v>45</v>
      </c>
      <c r="AD265" s="13">
        <v>0.1</v>
      </c>
      <c r="AE265" s="11">
        <v>1</v>
      </c>
      <c r="AF265" s="11">
        <v>0</v>
      </c>
      <c r="AG265" s="4" t="s">
        <v>46</v>
      </c>
    </row>
    <row x14ac:dyDescent="0.25" r="266" customHeight="1" ht="64.5">
      <c r="A266" s="38">
        <v>743.3</v>
      </c>
      <c r="B266" s="6">
        <f>IF(ISNUMBER(A266),
IF(AND(A266=INT(A266), MOD(A266, 10) = 0), 0,
IF(AND(A266=INT(A266), LEN(A266)=2), 1,
IF(AND(A266=INT(A266), LEN(A266)=3), 2,
LEN(A266) - FIND(".", A266) + 2)
)
),
"")</f>
      </c>
      <c r="C266" s="7" t="s">
        <v>260</v>
      </c>
      <c r="D266" s="8">
        <f>REPT("   ", B266*2) &amp; C266</f>
      </c>
      <c r="E266" s="7" t="s">
        <v>35</v>
      </c>
      <c r="F266" s="7" t="s">
        <v>36</v>
      </c>
      <c r="G266" s="10">
        <v>1</v>
      </c>
      <c r="H266" s="9"/>
      <c r="I266" s="9"/>
      <c r="J266" s="14"/>
      <c r="K266" s="14">
        <v>170</v>
      </c>
      <c r="L266" s="15" t="s">
        <v>261</v>
      </c>
      <c r="M266" s="7" t="s">
        <v>262</v>
      </c>
      <c r="N266" s="20"/>
      <c r="O266" s="15" t="s">
        <v>263</v>
      </c>
      <c r="P266" s="14"/>
      <c r="Q266" s="14">
        <v>2024</v>
      </c>
      <c r="R266" s="15" t="s">
        <v>253</v>
      </c>
      <c r="S266" s="7" t="s">
        <v>264</v>
      </c>
      <c r="T266" s="41" t="s">
        <v>264</v>
      </c>
      <c r="U266" s="25" t="s">
        <v>265</v>
      </c>
      <c r="V266" s="15" t="s">
        <v>266</v>
      </c>
      <c r="W266" s="4" t="s">
        <v>44</v>
      </c>
      <c r="X266" s="12">
        <v>0</v>
      </c>
      <c r="Y266" s="12">
        <v>0</v>
      </c>
      <c r="Z266" s="4" t="s">
        <v>45</v>
      </c>
      <c r="AA266" s="11">
        <f>0.9*K266</f>
      </c>
      <c r="AB266" s="11">
        <f>1.3*K266</f>
      </c>
      <c r="AC266" s="4" t="s">
        <v>45</v>
      </c>
      <c r="AD266" s="13">
        <v>0.1</v>
      </c>
      <c r="AE266" s="11">
        <v>1</v>
      </c>
      <c r="AF266" s="11">
        <v>0</v>
      </c>
      <c r="AG266" s="4" t="s">
        <v>46</v>
      </c>
    </row>
    <row x14ac:dyDescent="0.25" r="267" customHeight="1" ht="15">
      <c r="A267" s="6">
        <v>75</v>
      </c>
      <c r="B267" s="6">
        <f>IF(ISNUMBER(A267),
IF(AND(A267=INT(A267), MOD(A267, 10) = 0), 0,
IF(AND(A267=INT(A267), LEN(A267)=2), 1,
IF(AND(A267=INT(A267), LEN(A267)=3), 2,
LEN(A267) - FIND(".", A267) + 2)
)
),
"")</f>
      </c>
      <c r="C267" s="7" t="s">
        <v>267</v>
      </c>
      <c r="D267" s="8">
        <f>REPT("   ", B267*2) &amp; C267</f>
      </c>
      <c r="E267" s="9"/>
      <c r="F267" s="9"/>
      <c r="G267" s="42"/>
      <c r="H267" s="43"/>
      <c r="I267" s="43"/>
      <c r="J267" s="44"/>
      <c r="K267" s="44"/>
      <c r="L267" s="45"/>
      <c r="M267" s="45"/>
      <c r="N267" s="46"/>
      <c r="O267" s="45"/>
      <c r="P267" s="44"/>
      <c r="Q267" s="46"/>
      <c r="R267" s="45"/>
      <c r="S267" s="45"/>
      <c r="T267" s="45"/>
      <c r="U267" s="45"/>
      <c r="V267" s="45"/>
      <c r="W267" s="45"/>
      <c r="X267" s="47"/>
      <c r="Y267" s="47"/>
      <c r="Z267" s="45"/>
      <c r="AA267" s="44"/>
      <c r="AB267" s="44"/>
      <c r="AC267" s="45"/>
      <c r="AD267" s="48"/>
      <c r="AE267" s="44"/>
      <c r="AF267" s="44"/>
      <c r="AG267" s="45"/>
    </row>
    <row x14ac:dyDescent="0.25" r="268" customHeight="1" ht="15">
      <c r="A268" s="6">
        <v>78</v>
      </c>
      <c r="B268" s="6">
        <f>IF(ISNUMBER(A268),
IF(AND(A268=INT(A268), MOD(A268, 10) = 0), 0,
IF(AND(A268=INT(A268), LEN(A268)=2), 1,
IF(AND(A268=INT(A268), LEN(A268)=3), 2,
LEN(A268) - FIND(".", A268) + 2)
)
),
"")</f>
      </c>
      <c r="C268" s="7" t="s">
        <v>268</v>
      </c>
      <c r="D268" s="8">
        <f>REPT("   ", B268*2) &amp; C268</f>
      </c>
      <c r="E268" s="9"/>
      <c r="F268" s="9"/>
      <c r="G268" s="42"/>
      <c r="H268" s="43"/>
      <c r="I268" s="43"/>
      <c r="J268" s="44"/>
      <c r="K268" s="44"/>
      <c r="L268" s="45"/>
      <c r="M268" s="45"/>
      <c r="N268" s="46"/>
      <c r="O268" s="45"/>
      <c r="P268" s="44"/>
      <c r="Q268" s="46"/>
      <c r="R268" s="45"/>
      <c r="S268" s="45"/>
      <c r="T268" s="45"/>
      <c r="U268" s="45"/>
      <c r="V268" s="45"/>
      <c r="W268" s="45"/>
      <c r="X268" s="47"/>
      <c r="Y268" s="47"/>
      <c r="Z268" s="45"/>
      <c r="AA268" s="44"/>
      <c r="AB268" s="44"/>
      <c r="AC268" s="45"/>
      <c r="AD268" s="48"/>
      <c r="AE268" s="44"/>
      <c r="AF268" s="44"/>
      <c r="AG268" s="45"/>
    </row>
  </sheetData>
  <mergeCells count="70">
    <mergeCell ref="T3:T4"/>
    <mergeCell ref="U3:U4"/>
    <mergeCell ref="T5:T6"/>
    <mergeCell ref="U5:U6"/>
    <mergeCell ref="S11:S13"/>
    <mergeCell ref="T11:T13"/>
    <mergeCell ref="U11:U13"/>
    <mergeCell ref="S18:S20"/>
    <mergeCell ref="T18:T20"/>
    <mergeCell ref="U18:U20"/>
    <mergeCell ref="S23:S25"/>
    <mergeCell ref="T23:T25"/>
    <mergeCell ref="U23:U25"/>
    <mergeCell ref="S28:S30"/>
    <mergeCell ref="T28:T30"/>
    <mergeCell ref="U28:U30"/>
    <mergeCell ref="S33:S35"/>
    <mergeCell ref="T33:T35"/>
    <mergeCell ref="U33:U35"/>
    <mergeCell ref="S38:S40"/>
    <mergeCell ref="T38:T40"/>
    <mergeCell ref="U38:U40"/>
    <mergeCell ref="S45:S47"/>
    <mergeCell ref="T45:T47"/>
    <mergeCell ref="U45:U47"/>
    <mergeCell ref="S52:S54"/>
    <mergeCell ref="T52:T54"/>
    <mergeCell ref="U52:U54"/>
    <mergeCell ref="S57:S59"/>
    <mergeCell ref="T57:T59"/>
    <mergeCell ref="U57:U59"/>
    <mergeCell ref="S62:S64"/>
    <mergeCell ref="T62:T64"/>
    <mergeCell ref="U62:U64"/>
    <mergeCell ref="S67:S69"/>
    <mergeCell ref="T67:T69"/>
    <mergeCell ref="U67:U69"/>
    <mergeCell ref="S74:S76"/>
    <mergeCell ref="T74:T76"/>
    <mergeCell ref="U74:U76"/>
    <mergeCell ref="S79:S81"/>
    <mergeCell ref="T79:T81"/>
    <mergeCell ref="U79:U81"/>
    <mergeCell ref="S86:S88"/>
    <mergeCell ref="T86:T88"/>
    <mergeCell ref="U86:U88"/>
    <mergeCell ref="S93:S95"/>
    <mergeCell ref="T93:T95"/>
    <mergeCell ref="U93:U95"/>
    <mergeCell ref="S98:S100"/>
    <mergeCell ref="T98:T100"/>
    <mergeCell ref="U98:U100"/>
    <mergeCell ref="S105:S107"/>
    <mergeCell ref="T105:T107"/>
    <mergeCell ref="U105:U107"/>
    <mergeCell ref="S112:S114"/>
    <mergeCell ref="T112:T114"/>
    <mergeCell ref="U112:U114"/>
    <mergeCell ref="S117:S119"/>
    <mergeCell ref="T117:T119"/>
    <mergeCell ref="U117:U119"/>
    <mergeCell ref="S122:S124"/>
    <mergeCell ref="T122:T124"/>
    <mergeCell ref="U122:U124"/>
    <mergeCell ref="S127:S129"/>
    <mergeCell ref="T127:T129"/>
    <mergeCell ref="U127:U129"/>
    <mergeCell ref="S225:S230"/>
    <mergeCell ref="T225:T230"/>
    <mergeCell ref="S242:S245"/>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Cost Database</vt:lpstr>
      <vt:lpstr>MARVEL_Cost</vt:lpstr>
      <vt:lpstr>Design Variables</vt:lpstr>
      <vt:lpstr>Inflation Adjustment</vt:lpstr>
      <vt:lpstr>Economics Parameters</vt:lpstr>
      <vt:lpstr>Central Facility Database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2026-10-29T13:56:19.597Z</dcterms:created>
  <dcterms:modified xsi:type="dcterms:W3CDTF">2026-10-29T13:56:19.597Z</dcterms:modified>
</cp:coreProperties>
</file>