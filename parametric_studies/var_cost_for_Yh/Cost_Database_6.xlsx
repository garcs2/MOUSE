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SEURPR\AppData\Local\Temp\1\Mxt244\mx86_64b\RemoteFiles\131872_5_52\"/>
    </mc:Choice>
  </mc:AlternateContent>
  <xr:revisionPtr revIDLastSave="0" documentId="13_ncr:1_{E1C04387-26D8-45CF-9A40-D88AE3068E00}" xr6:coauthVersionLast="47" xr6:coauthVersionMax="47" xr10:uidLastSave="{00000000-0000-0000-0000-000000000000}"/>
  <bookViews>
    <workbookView xWindow="-108" yWindow="-108" windowWidth="23256" windowHeight="12456" tabRatio="877" xr2:uid="{00000000-000D-0000-FFFF-FFFF00000000}"/>
  </bookViews>
  <sheets>
    <sheet name="Cost Database" sheetId="2" r:id="rId1"/>
    <sheet name="MARVEL_Cost" sheetId="4" r:id="rId2"/>
    <sheet name="Design Variables" sheetId="6" r:id="rId3"/>
    <sheet name="Inflation Adjustment" sheetId="3" r:id="rId4"/>
    <sheet name="Economics Parameters" sheetId="7" r:id="rId5"/>
  </sheets>
  <definedNames>
    <definedName name="_xlnm._FilterDatabase" localSheetId="0" hidden="1">'Cost Database'!$A$1:$AB$173</definedName>
    <definedName name="CRF">#REF!</definedName>
    <definedName name="DiscountRate">#REF!</definedName>
    <definedName name="FacilityLifetime">#REF!</definedName>
    <definedName name="GeneralDataManufacturingLocations">#REF!</definedName>
    <definedName name="MaterialData316SSStandardDensity">#REF!</definedName>
    <definedName name="MaterialDataA36CSStandardDensity">#REF!</definedName>
    <definedName name="MaterialDataB4CNaturalTheoreticalDensity">#REF!</definedName>
    <definedName name="MaterialDataConcreteNominalSolidDensity">#REF!</definedName>
    <definedName name="MaterialDataGeneralInsulationStandardDensity">#REF!</definedName>
    <definedName name="MaterialDataGR22StandardDensity">#REF!</definedName>
    <definedName name="MaterialDataInconel718StandardDensity">#REF!</definedName>
    <definedName name="UC_m_i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95" i="2" l="1"/>
  <c r="AA95" i="2"/>
  <c r="B95" i="2"/>
  <c r="D95" i="2" s="1"/>
  <c r="AB93" i="2"/>
  <c r="AA93" i="2"/>
  <c r="B93" i="2"/>
  <c r="D93" i="2" s="1"/>
  <c r="AB138" i="2"/>
  <c r="AA138" i="2"/>
  <c r="Y138" i="2"/>
  <c r="X138" i="2"/>
  <c r="B138" i="2"/>
  <c r="D138" i="2" s="1"/>
  <c r="AB96" i="2"/>
  <c r="AB97" i="2"/>
  <c r="AA96" i="2"/>
  <c r="AA97" i="2"/>
  <c r="AB92" i="2"/>
  <c r="AB94" i="2"/>
  <c r="AA92" i="2"/>
  <c r="AA94" i="2"/>
  <c r="B97" i="2"/>
  <c r="D97" i="2" s="1"/>
  <c r="B96" i="2"/>
  <c r="D96" i="2" s="1"/>
  <c r="B94" i="2"/>
  <c r="D94" i="2" s="1"/>
  <c r="B92" i="2"/>
  <c r="D92" i="2" s="1"/>
  <c r="K22" i="2"/>
  <c r="K61" i="2"/>
  <c r="K57" i="2"/>
  <c r="K59" i="2"/>
  <c r="K58" i="2"/>
  <c r="K54" i="2"/>
  <c r="K53" i="2"/>
  <c r="K52" i="2"/>
  <c r="K48" i="2"/>
  <c r="K47" i="2"/>
  <c r="K46" i="2"/>
  <c r="K33" i="2"/>
  <c r="K32" i="2"/>
  <c r="K31" i="2"/>
  <c r="K30" i="2"/>
  <c r="K28" i="2"/>
  <c r="K27" i="2"/>
  <c r="K26" i="2"/>
  <c r="K24" i="2"/>
  <c r="K23" i="2"/>
  <c r="K13" i="2"/>
  <c r="K12" i="2"/>
  <c r="K11" i="2"/>
  <c r="K15" i="2"/>
  <c r="J160" i="2"/>
  <c r="Y160" i="2" s="1"/>
  <c r="X160" i="2" l="1"/>
  <c r="B160" i="2"/>
  <c r="D160" i="2" s="1"/>
  <c r="Y5" i="2"/>
  <c r="X5" i="2"/>
  <c r="J5" i="2" l="1"/>
  <c r="K4" i="2"/>
  <c r="J7" i="2"/>
  <c r="K119" i="2"/>
  <c r="AA110" i="2"/>
  <c r="AB110" i="2"/>
  <c r="B110" i="2"/>
  <c r="D110" i="2" s="1"/>
  <c r="J71" i="2"/>
  <c r="N71" i="2"/>
  <c r="K71" i="2" s="1"/>
  <c r="N68" i="2"/>
  <c r="K68" i="2" s="1"/>
  <c r="N67" i="2"/>
  <c r="K67" i="2" s="1"/>
  <c r="B163" i="2" l="1"/>
  <c r="B164" i="2"/>
  <c r="B165" i="2"/>
  <c r="B166" i="2"/>
  <c r="B167" i="2"/>
  <c r="D167" i="2" s="1"/>
  <c r="B168" i="2"/>
  <c r="D168" i="2" s="1"/>
  <c r="AA158" i="2"/>
  <c r="AB159" i="2" l="1"/>
  <c r="AA159" i="2"/>
  <c r="Y159" i="2"/>
  <c r="X159" i="2"/>
  <c r="B159" i="2"/>
  <c r="D159" i="2" s="1"/>
  <c r="AB33" i="2"/>
  <c r="AB32" i="2"/>
  <c r="AB31" i="2"/>
  <c r="AA30" i="2"/>
  <c r="Y33" i="2"/>
  <c r="X33" i="2"/>
  <c r="Y32" i="2"/>
  <c r="X32" i="2"/>
  <c r="Y31" i="2"/>
  <c r="X31" i="2"/>
  <c r="Y30" i="2"/>
  <c r="X30" i="2"/>
  <c r="B33" i="2"/>
  <c r="D33" i="2" s="1"/>
  <c r="B32" i="2"/>
  <c r="D32" i="2" s="1"/>
  <c r="B31" i="2"/>
  <c r="D31" i="2" s="1"/>
  <c r="B30" i="2"/>
  <c r="D30" i="2" s="1"/>
  <c r="B29" i="2"/>
  <c r="D29" i="2" s="1"/>
  <c r="Y19" i="2"/>
  <c r="X19" i="2"/>
  <c r="K19" i="2"/>
  <c r="AB19" i="2" s="1"/>
  <c r="B19" i="2"/>
  <c r="D19" i="2" s="1"/>
  <c r="K18" i="2"/>
  <c r="AB30" i="2" l="1"/>
  <c r="AA33" i="2"/>
  <c r="AA31" i="2"/>
  <c r="AA32" i="2"/>
  <c r="AA19" i="2"/>
  <c r="AB18" i="2"/>
  <c r="AA18" i="2"/>
  <c r="Y18" i="2"/>
  <c r="X18" i="2"/>
  <c r="B18" i="2"/>
  <c r="D18" i="2" s="1"/>
  <c r="D166" i="2" l="1"/>
  <c r="D165" i="2"/>
  <c r="D164" i="2"/>
  <c r="D163" i="2"/>
  <c r="B162" i="2"/>
  <c r="D162" i="2" s="1"/>
  <c r="K113" i="2" l="1"/>
  <c r="AB113" i="2" l="1"/>
  <c r="AA113" i="2"/>
  <c r="AB112" i="2"/>
  <c r="AA112" i="2"/>
  <c r="Y113" i="2"/>
  <c r="X113" i="2"/>
  <c r="Y112" i="2"/>
  <c r="X112" i="2"/>
  <c r="B113" i="2"/>
  <c r="D113" i="2" s="1"/>
  <c r="B112" i="2"/>
  <c r="D112" i="2" s="1"/>
  <c r="B111" i="2"/>
  <c r="D111" i="2" s="1"/>
  <c r="B50" i="2"/>
  <c r="D50" i="2" s="1"/>
  <c r="B51" i="2"/>
  <c r="D51" i="2" s="1"/>
  <c r="B52" i="2"/>
  <c r="D52" i="2" s="1"/>
  <c r="AA52" i="2"/>
  <c r="X52" i="2"/>
  <c r="Y52" i="2"/>
  <c r="B53" i="2"/>
  <c r="D53" i="2" s="1"/>
  <c r="AA53" i="2"/>
  <c r="X53" i="2"/>
  <c r="Y53" i="2"/>
  <c r="B54" i="2"/>
  <c r="D54" i="2" s="1"/>
  <c r="AA54" i="2"/>
  <c r="X54" i="2"/>
  <c r="Y54" i="2"/>
  <c r="B109" i="2"/>
  <c r="D109" i="2" s="1"/>
  <c r="X109" i="2"/>
  <c r="Y109" i="2"/>
  <c r="AA109" i="2"/>
  <c r="AB109" i="2"/>
  <c r="B158" i="2"/>
  <c r="D158" i="2" s="1"/>
  <c r="X158" i="2"/>
  <c r="Y158" i="2"/>
  <c r="AB158" i="2"/>
  <c r="AB54" i="2" l="1"/>
  <c r="AB52" i="2"/>
  <c r="AB53" i="2"/>
  <c r="AB103" i="2"/>
  <c r="AA103" i="2"/>
  <c r="Y103" i="2"/>
  <c r="X103" i="2"/>
  <c r="AB91" i="2"/>
  <c r="AA91" i="2"/>
  <c r="Y91" i="2"/>
  <c r="X91" i="2"/>
  <c r="AB173" i="2" l="1"/>
  <c r="AA173" i="2"/>
  <c r="AB171" i="2"/>
  <c r="AA171" i="2"/>
  <c r="AB156" i="2"/>
  <c r="AA156" i="2"/>
  <c r="AB155" i="2"/>
  <c r="AA155" i="2"/>
  <c r="AB154" i="2"/>
  <c r="AA154" i="2"/>
  <c r="AB149" i="2"/>
  <c r="AA149" i="2"/>
  <c r="AB147" i="2"/>
  <c r="AA147" i="2"/>
  <c r="AB146" i="2"/>
  <c r="AA146" i="2"/>
  <c r="AB145" i="2"/>
  <c r="AA145" i="2"/>
  <c r="AB144" i="2"/>
  <c r="AA144" i="2"/>
  <c r="AB140" i="2"/>
  <c r="AA140" i="2"/>
  <c r="AB139" i="2"/>
  <c r="AA139" i="2"/>
  <c r="AB137" i="2"/>
  <c r="AA137" i="2"/>
  <c r="AB136" i="2"/>
  <c r="AA136" i="2"/>
  <c r="AB135" i="2"/>
  <c r="AA135" i="2"/>
  <c r="AB134" i="2"/>
  <c r="AA134" i="2"/>
  <c r="AB124" i="2"/>
  <c r="AA124" i="2"/>
  <c r="AB121" i="2"/>
  <c r="AA121" i="2"/>
  <c r="AB120" i="2"/>
  <c r="AA120" i="2"/>
  <c r="AB118" i="2"/>
  <c r="AA118" i="2"/>
  <c r="AB108" i="2"/>
  <c r="AA108" i="2"/>
  <c r="AB107" i="2"/>
  <c r="AA107" i="2"/>
  <c r="AB106" i="2"/>
  <c r="AA106" i="2"/>
  <c r="AB105" i="2"/>
  <c r="AA105" i="2"/>
  <c r="AB102" i="2"/>
  <c r="AA102" i="2"/>
  <c r="AB101" i="2"/>
  <c r="AA101" i="2"/>
  <c r="AB88" i="2"/>
  <c r="AA88" i="2"/>
  <c r="AB87" i="2"/>
  <c r="AA87" i="2"/>
  <c r="AB83" i="2"/>
  <c r="AA83" i="2"/>
  <c r="AB82" i="2"/>
  <c r="AA82" i="2"/>
  <c r="AB79" i="2"/>
  <c r="AA79" i="2"/>
  <c r="AB73" i="2"/>
  <c r="AA73" i="2"/>
  <c r="AB72" i="2"/>
  <c r="AA72" i="2"/>
  <c r="AB71" i="2"/>
  <c r="AA71" i="2"/>
  <c r="AB70" i="2"/>
  <c r="AA70" i="2"/>
  <c r="AB69" i="2"/>
  <c r="AA69" i="2"/>
  <c r="AB68" i="2"/>
  <c r="AA68" i="2"/>
  <c r="AB7" i="2"/>
  <c r="AA7" i="2"/>
  <c r="AB6" i="2"/>
  <c r="AA6" i="2"/>
  <c r="AB5" i="2"/>
  <c r="AA5" i="2"/>
  <c r="AB3" i="2"/>
  <c r="AA3" i="2"/>
  <c r="Y173" i="2"/>
  <c r="Y171" i="2"/>
  <c r="Y156" i="2"/>
  <c r="Y155" i="2"/>
  <c r="Y154" i="2"/>
  <c r="Y149" i="2"/>
  <c r="Y140" i="2"/>
  <c r="Y139" i="2"/>
  <c r="Y137" i="2"/>
  <c r="Y136" i="2"/>
  <c r="Y135" i="2"/>
  <c r="Y134" i="2"/>
  <c r="Y132" i="2"/>
  <c r="Y131" i="2"/>
  <c r="Y130" i="2"/>
  <c r="Y129" i="2"/>
  <c r="Y128" i="2"/>
  <c r="Y127" i="2"/>
  <c r="Y125" i="2"/>
  <c r="Y124" i="2"/>
  <c r="Y120" i="2"/>
  <c r="Y119" i="2"/>
  <c r="Y117" i="2"/>
  <c r="Y116" i="2"/>
  <c r="Y108" i="2"/>
  <c r="Y107" i="2"/>
  <c r="Y106" i="2"/>
  <c r="Y105" i="2"/>
  <c r="Y102" i="2"/>
  <c r="Y101" i="2"/>
  <c r="Y100" i="2"/>
  <c r="Y88" i="2"/>
  <c r="Y87" i="2"/>
  <c r="Y86" i="2"/>
  <c r="Y83" i="2"/>
  <c r="Y82" i="2"/>
  <c r="Y81" i="2"/>
  <c r="Y80" i="2"/>
  <c r="Y79" i="2"/>
  <c r="Y78" i="2"/>
  <c r="Y77" i="2"/>
  <c r="Y76" i="2"/>
  <c r="Y73" i="2"/>
  <c r="Y72" i="2"/>
  <c r="Y71" i="2"/>
  <c r="Y70" i="2"/>
  <c r="Y69" i="2"/>
  <c r="Y68" i="2"/>
  <c r="Y67" i="2"/>
  <c r="Y63" i="2"/>
  <c r="Y62" i="2"/>
  <c r="Y61" i="2"/>
  <c r="Y59" i="2"/>
  <c r="Y58" i="2"/>
  <c r="Y57" i="2"/>
  <c r="Y49" i="2"/>
  <c r="Y48" i="2"/>
  <c r="Y47" i="2"/>
  <c r="Y46" i="2"/>
  <c r="Y43" i="2"/>
  <c r="Y42" i="2"/>
  <c r="Y41" i="2"/>
  <c r="Y39" i="2"/>
  <c r="Y38" i="2"/>
  <c r="Y37" i="2"/>
  <c r="Y28" i="2"/>
  <c r="Y27" i="2"/>
  <c r="Y26" i="2"/>
  <c r="Y24" i="2"/>
  <c r="Y23" i="2"/>
  <c r="Y22" i="2"/>
  <c r="Y17" i="2"/>
  <c r="Y16" i="2"/>
  <c r="Y15" i="2"/>
  <c r="Y13" i="2"/>
  <c r="Y12" i="2"/>
  <c r="Y11" i="2"/>
  <c r="Y6" i="2"/>
  <c r="Y4" i="2"/>
  <c r="Y3" i="2"/>
  <c r="X173" i="2"/>
  <c r="X171" i="2"/>
  <c r="X156" i="2"/>
  <c r="X155" i="2"/>
  <c r="X154" i="2"/>
  <c r="X149" i="2"/>
  <c r="X140" i="2"/>
  <c r="X139" i="2"/>
  <c r="X137" i="2"/>
  <c r="X136" i="2"/>
  <c r="X135" i="2"/>
  <c r="X134" i="2"/>
  <c r="X132" i="2"/>
  <c r="X131" i="2"/>
  <c r="X130" i="2"/>
  <c r="X129" i="2"/>
  <c r="X128" i="2"/>
  <c r="X127" i="2"/>
  <c r="X125" i="2"/>
  <c r="X124" i="2"/>
  <c r="X120" i="2"/>
  <c r="X119" i="2"/>
  <c r="X117" i="2"/>
  <c r="X116" i="2"/>
  <c r="X108" i="2"/>
  <c r="X107" i="2"/>
  <c r="X106" i="2"/>
  <c r="X105" i="2"/>
  <c r="X102" i="2"/>
  <c r="X101" i="2"/>
  <c r="X100" i="2"/>
  <c r="X88" i="2"/>
  <c r="X87" i="2"/>
  <c r="X86" i="2"/>
  <c r="X83" i="2"/>
  <c r="X82" i="2"/>
  <c r="X81" i="2"/>
  <c r="X80" i="2"/>
  <c r="X79" i="2"/>
  <c r="X78" i="2"/>
  <c r="X77" i="2"/>
  <c r="X76" i="2"/>
  <c r="X73" i="2"/>
  <c r="X72" i="2"/>
  <c r="X71" i="2"/>
  <c r="X70" i="2"/>
  <c r="X69" i="2"/>
  <c r="X68" i="2"/>
  <c r="X67" i="2"/>
  <c r="X63" i="2"/>
  <c r="X62" i="2"/>
  <c r="X61" i="2"/>
  <c r="X59" i="2"/>
  <c r="X58" i="2"/>
  <c r="X57" i="2"/>
  <c r="X49" i="2"/>
  <c r="X48" i="2"/>
  <c r="X47" i="2"/>
  <c r="X46" i="2"/>
  <c r="X43" i="2"/>
  <c r="X42" i="2"/>
  <c r="X41" i="2"/>
  <c r="X39" i="2"/>
  <c r="X38" i="2"/>
  <c r="X37" i="2"/>
  <c r="X28" i="2"/>
  <c r="X27" i="2"/>
  <c r="X26" i="2"/>
  <c r="X24" i="2"/>
  <c r="X23" i="2"/>
  <c r="X22" i="2"/>
  <c r="X17" i="2"/>
  <c r="X16" i="2"/>
  <c r="X15" i="2"/>
  <c r="X13" i="2"/>
  <c r="X12" i="2"/>
  <c r="X11" i="2"/>
  <c r="X6" i="2"/>
  <c r="X4" i="2"/>
  <c r="X3" i="2"/>
  <c r="J145" i="2" l="1"/>
  <c r="N86" i="2"/>
  <c r="B86" i="2"/>
  <c r="D86" i="2" s="1"/>
  <c r="N81" i="2"/>
  <c r="K86" i="2" s="1"/>
  <c r="B81" i="2"/>
  <c r="D81" i="2" s="1"/>
  <c r="B82" i="2"/>
  <c r="D82" i="2" s="1"/>
  <c r="K81" i="2" l="1"/>
  <c r="AB81" i="2" s="1"/>
  <c r="X145" i="2"/>
  <c r="Y145" i="2"/>
  <c r="AB86" i="2"/>
  <c r="AA86" i="2"/>
  <c r="K76" i="2"/>
  <c r="AA81" i="2" l="1"/>
  <c r="AB76" i="2"/>
  <c r="AA76" i="2"/>
  <c r="B79" i="2"/>
  <c r="D79" i="2" s="1"/>
  <c r="B72" i="2"/>
  <c r="D72" i="2" s="1"/>
  <c r="B69" i="2"/>
  <c r="D69" i="2" s="1"/>
  <c r="B73" i="2"/>
  <c r="D73" i="2" s="1"/>
  <c r="B70" i="2"/>
  <c r="D70" i="2" s="1"/>
  <c r="B169" i="2"/>
  <c r="D169" i="2" s="1"/>
  <c r="B157" i="2"/>
  <c r="D157" i="2" s="1"/>
  <c r="K132" i="2"/>
  <c r="K131" i="2"/>
  <c r="K130" i="2"/>
  <c r="K129" i="2"/>
  <c r="K128" i="2"/>
  <c r="K127" i="2"/>
  <c r="B132" i="2"/>
  <c r="D132" i="2" s="1"/>
  <c r="B131" i="2"/>
  <c r="D131" i="2" s="1"/>
  <c r="B130" i="2"/>
  <c r="D130" i="2" s="1"/>
  <c r="B129" i="2"/>
  <c r="D129" i="2" s="1"/>
  <c r="B128" i="2"/>
  <c r="D128" i="2" s="1"/>
  <c r="B127" i="2"/>
  <c r="D127" i="2" s="1"/>
  <c r="AB130" i="2" l="1"/>
  <c r="AA130" i="2"/>
  <c r="AB131" i="2"/>
  <c r="AA131" i="2"/>
  <c r="AB127" i="2"/>
  <c r="AA127" i="2"/>
  <c r="AB132" i="2"/>
  <c r="AA132" i="2"/>
  <c r="AB119" i="2"/>
  <c r="AA119" i="2"/>
  <c r="AB128" i="2"/>
  <c r="AA128" i="2"/>
  <c r="AB129" i="2"/>
  <c r="AA129" i="2"/>
  <c r="B125" i="2"/>
  <c r="D125" i="2" s="1"/>
  <c r="D119" i="2"/>
  <c r="B108" i="2"/>
  <c r="D108" i="2" s="1"/>
  <c r="B107" i="2"/>
  <c r="D107" i="2" s="1"/>
  <c r="B106" i="2"/>
  <c r="D106" i="2" s="1"/>
  <c r="B105" i="2"/>
  <c r="D105" i="2" s="1"/>
  <c r="B88" i="2" l="1"/>
  <c r="D88" i="2" s="1"/>
  <c r="B87" i="2"/>
  <c r="D87" i="2" s="1"/>
  <c r="K77" i="2"/>
  <c r="B83" i="2"/>
  <c r="D83" i="2" s="1"/>
  <c r="AB77" i="2" l="1"/>
  <c r="AA77" i="2"/>
  <c r="AB67" i="2"/>
  <c r="AA67" i="2"/>
  <c r="B2" i="2" l="1"/>
  <c r="B141" i="2"/>
  <c r="B8" i="2"/>
  <c r="B149" i="2"/>
  <c r="D149" i="2" s="1"/>
  <c r="B148" i="2"/>
  <c r="D148" i="2" s="1"/>
  <c r="D142" i="2"/>
  <c r="D143" i="2"/>
  <c r="J147" i="2"/>
  <c r="J146" i="2"/>
  <c r="J144" i="2"/>
  <c r="B139" i="2"/>
  <c r="D139" i="2" s="1"/>
  <c r="Y147" i="2" l="1"/>
  <c r="X147" i="2"/>
  <c r="Y7" i="2"/>
  <c r="X7" i="2"/>
  <c r="Y144" i="2"/>
  <c r="X144" i="2"/>
  <c r="Y146" i="2"/>
  <c r="X146" i="2"/>
  <c r="J121" i="2"/>
  <c r="Y121" i="2" l="1"/>
  <c r="X121" i="2"/>
  <c r="B121" i="2"/>
  <c r="D121" i="2" s="1"/>
  <c r="J118" i="2"/>
  <c r="B118" i="2"/>
  <c r="D118" i="2" s="1"/>
  <c r="B102" i="2"/>
  <c r="D102" i="2" s="1"/>
  <c r="X118" i="2" l="1"/>
  <c r="Y118" i="2"/>
  <c r="B101" i="2"/>
  <c r="B99" i="2"/>
  <c r="B100" i="2"/>
  <c r="D100" i="2" s="1"/>
  <c r="B104" i="2"/>
  <c r="B103" i="2"/>
  <c r="K100" i="2"/>
  <c r="AB100" i="2" l="1"/>
  <c r="AA100" i="2"/>
  <c r="C3" i="4"/>
  <c r="N91" i="2"/>
  <c r="N85" i="2" l="1"/>
  <c r="K85" i="2" s="1"/>
  <c r="J85" i="2"/>
  <c r="N49" i="2"/>
  <c r="K49" i="2" s="1"/>
  <c r="N80" i="2"/>
  <c r="K80" i="2" s="1"/>
  <c r="N78" i="2"/>
  <c r="C20" i="4"/>
  <c r="X85" i="2" l="1"/>
  <c r="Y85" i="2"/>
  <c r="AB80" i="2"/>
  <c r="AA80" i="2"/>
  <c r="AB85" i="2"/>
  <c r="AA85" i="2"/>
  <c r="K78" i="2"/>
  <c r="N90" i="2"/>
  <c r="K90" i="2" l="1"/>
  <c r="AB78" i="2"/>
  <c r="AA78" i="2"/>
  <c r="K116" i="2"/>
  <c r="C19" i="4"/>
  <c r="C77" i="4"/>
  <c r="C73" i="4"/>
  <c r="C52" i="4"/>
  <c r="C68" i="4"/>
  <c r="C71" i="4"/>
  <c r="C75" i="4"/>
  <c r="C46" i="4"/>
  <c r="C45" i="4" s="1"/>
  <c r="K117" i="2" l="1"/>
  <c r="AB116" i="2"/>
  <c r="AA116" i="2"/>
  <c r="AB49" i="2"/>
  <c r="AA49" i="2"/>
  <c r="AB90" i="2"/>
  <c r="AA90" i="2"/>
  <c r="C48" i="4"/>
  <c r="C15" i="4"/>
  <c r="C10" i="4"/>
  <c r="C6" i="4" s="1"/>
  <c r="C65" i="4"/>
  <c r="C59" i="4"/>
  <c r="C58" i="4" s="1"/>
  <c r="C32" i="4"/>
  <c r="AB117" i="2" l="1"/>
  <c r="AA117" i="2"/>
  <c r="C62" i="4"/>
  <c r="C56" i="4"/>
  <c r="C55" i="4" l="1"/>
  <c r="C25" i="4" l="1"/>
  <c r="C14" i="4" s="1"/>
  <c r="C13" i="4" s="1"/>
  <c r="C5" i="4" s="1"/>
  <c r="J90" i="2"/>
  <c r="K63" i="2"/>
  <c r="K62" i="2"/>
  <c r="B63" i="2"/>
  <c r="D63" i="2" s="1"/>
  <c r="B62" i="2"/>
  <c r="D62" i="2" s="1"/>
  <c r="B61" i="2"/>
  <c r="D61" i="2" s="1"/>
  <c r="B59" i="2"/>
  <c r="D59" i="2" s="1"/>
  <c r="B58" i="2"/>
  <c r="D58" i="2" s="1"/>
  <c r="B57" i="2"/>
  <c r="D57" i="2" s="1"/>
  <c r="B60" i="2"/>
  <c r="D60" i="2" s="1"/>
  <c r="B56" i="2"/>
  <c r="D56" i="2" s="1"/>
  <c r="B55" i="2"/>
  <c r="D55" i="2" s="1"/>
  <c r="B48" i="2"/>
  <c r="D48" i="2" s="1"/>
  <c r="B47" i="2"/>
  <c r="D47" i="2" s="1"/>
  <c r="B46" i="2"/>
  <c r="D46" i="2" s="1"/>
  <c r="B49" i="2"/>
  <c r="D49" i="2" s="1"/>
  <c r="B45" i="2"/>
  <c r="D45" i="2" s="1"/>
  <c r="B12" i="2"/>
  <c r="D12" i="2" s="1"/>
  <c r="B3" i="2"/>
  <c r="D3" i="2" s="1"/>
  <c r="B4" i="2"/>
  <c r="D4" i="2" s="1"/>
  <c r="B5" i="2"/>
  <c r="D5" i="2" s="1"/>
  <c r="B6" i="2"/>
  <c r="D6" i="2" s="1"/>
  <c r="B7" i="2"/>
  <c r="D7" i="2" s="1"/>
  <c r="D8" i="2"/>
  <c r="B9" i="2"/>
  <c r="D9" i="2" s="1"/>
  <c r="B10" i="2"/>
  <c r="D10" i="2" s="1"/>
  <c r="B11" i="2"/>
  <c r="D11" i="2" s="1"/>
  <c r="B13" i="2"/>
  <c r="D13" i="2" s="1"/>
  <c r="B14" i="2"/>
  <c r="D14" i="2" s="1"/>
  <c r="B15" i="2"/>
  <c r="D15" i="2" s="1"/>
  <c r="B16" i="2"/>
  <c r="D16" i="2" s="1"/>
  <c r="B17" i="2"/>
  <c r="D17" i="2" s="1"/>
  <c r="B20" i="2"/>
  <c r="D20" i="2" s="1"/>
  <c r="B21" i="2"/>
  <c r="D21" i="2" s="1"/>
  <c r="B22" i="2"/>
  <c r="D22" i="2" s="1"/>
  <c r="B23" i="2"/>
  <c r="D23" i="2" s="1"/>
  <c r="B24" i="2"/>
  <c r="D24" i="2" s="1"/>
  <c r="B25" i="2"/>
  <c r="D25" i="2" s="1"/>
  <c r="B26" i="2"/>
  <c r="D26" i="2" s="1"/>
  <c r="B27" i="2"/>
  <c r="D27" i="2" s="1"/>
  <c r="B28" i="2"/>
  <c r="D28" i="2" s="1"/>
  <c r="B34" i="2"/>
  <c r="D34" i="2" s="1"/>
  <c r="B35" i="2"/>
  <c r="D35" i="2" s="1"/>
  <c r="B36" i="2"/>
  <c r="D36" i="2" s="1"/>
  <c r="B37" i="2"/>
  <c r="D37" i="2" s="1"/>
  <c r="B38" i="2"/>
  <c r="D38" i="2" s="1"/>
  <c r="B39" i="2"/>
  <c r="D39" i="2" s="1"/>
  <c r="B40" i="2"/>
  <c r="D40" i="2" s="1"/>
  <c r="B41" i="2"/>
  <c r="D41" i="2" s="1"/>
  <c r="B42" i="2"/>
  <c r="D42" i="2" s="1"/>
  <c r="B43" i="2"/>
  <c r="D43" i="2" s="1"/>
  <c r="B44" i="2"/>
  <c r="D44" i="2" s="1"/>
  <c r="B64" i="2"/>
  <c r="D64" i="2" s="1"/>
  <c r="B65" i="2"/>
  <c r="D65" i="2" s="1"/>
  <c r="B66" i="2"/>
  <c r="D66" i="2" s="1"/>
  <c r="B67" i="2"/>
  <c r="D67" i="2" s="1"/>
  <c r="B68" i="2"/>
  <c r="D68" i="2" s="1"/>
  <c r="B71" i="2"/>
  <c r="D71" i="2" s="1"/>
  <c r="B74" i="2"/>
  <c r="D74" i="2" s="1"/>
  <c r="B75" i="2"/>
  <c r="D75" i="2" s="1"/>
  <c r="B76" i="2"/>
  <c r="D76" i="2" s="1"/>
  <c r="B77" i="2"/>
  <c r="D77" i="2" s="1"/>
  <c r="B78" i="2"/>
  <c r="D78" i="2" s="1"/>
  <c r="B80" i="2"/>
  <c r="D80" i="2" s="1"/>
  <c r="B84" i="2"/>
  <c r="D84" i="2" s="1"/>
  <c r="B85" i="2"/>
  <c r="D85" i="2" s="1"/>
  <c r="B89" i="2"/>
  <c r="D89" i="2" s="1"/>
  <c r="B90" i="2"/>
  <c r="D90" i="2" s="1"/>
  <c r="B91" i="2"/>
  <c r="D91" i="2" s="1"/>
  <c r="B98" i="2"/>
  <c r="D99" i="2"/>
  <c r="D101" i="2"/>
  <c r="D103" i="2"/>
  <c r="D104" i="2"/>
  <c r="B114" i="2"/>
  <c r="D114" i="2" s="1"/>
  <c r="B115" i="2"/>
  <c r="D115" i="2" s="1"/>
  <c r="B116" i="2"/>
  <c r="D116" i="2" s="1"/>
  <c r="B117" i="2"/>
  <c r="D117" i="2" s="1"/>
  <c r="B120" i="2"/>
  <c r="D120" i="2" s="1"/>
  <c r="B122" i="2"/>
  <c r="D122" i="2" s="1"/>
  <c r="B123" i="2"/>
  <c r="D123" i="2" s="1"/>
  <c r="B124" i="2"/>
  <c r="D124" i="2" s="1"/>
  <c r="B126" i="2"/>
  <c r="D126" i="2" s="1"/>
  <c r="B133" i="2"/>
  <c r="D133" i="2" s="1"/>
  <c r="B134" i="2"/>
  <c r="D134" i="2" s="1"/>
  <c r="B135" i="2"/>
  <c r="D135" i="2" s="1"/>
  <c r="B136" i="2"/>
  <c r="D136" i="2" s="1"/>
  <c r="B137" i="2"/>
  <c r="D137" i="2" s="1"/>
  <c r="B140" i="2"/>
  <c r="D140" i="2" s="1"/>
  <c r="D141" i="2"/>
  <c r="B144" i="2"/>
  <c r="D144" i="2" s="1"/>
  <c r="B145" i="2"/>
  <c r="D145" i="2" s="1"/>
  <c r="B146" i="2"/>
  <c r="D146" i="2" s="1"/>
  <c r="B147" i="2"/>
  <c r="D147" i="2" s="1"/>
  <c r="B150" i="2"/>
  <c r="D150" i="2" s="1"/>
  <c r="B151" i="2"/>
  <c r="D151" i="2" s="1"/>
  <c r="B152" i="2"/>
  <c r="D152" i="2" s="1"/>
  <c r="B153" i="2"/>
  <c r="D153" i="2" s="1"/>
  <c r="B154" i="2"/>
  <c r="D154" i="2" s="1"/>
  <c r="B155" i="2"/>
  <c r="D155" i="2" s="1"/>
  <c r="B156" i="2"/>
  <c r="D156" i="2" s="1"/>
  <c r="B161" i="2"/>
  <c r="D161" i="2" s="1"/>
  <c r="B170" i="2"/>
  <c r="D170" i="2" s="1"/>
  <c r="B171" i="2"/>
  <c r="D171" i="2" s="1"/>
  <c r="B172" i="2"/>
  <c r="D172" i="2" s="1"/>
  <c r="B173" i="2"/>
  <c r="D173" i="2" s="1"/>
  <c r="D2" i="2"/>
  <c r="AB57" i="2" l="1"/>
  <c r="AA57" i="2"/>
  <c r="AB59" i="2"/>
  <c r="AA59" i="2"/>
  <c r="AB46" i="2"/>
  <c r="AA46" i="2"/>
  <c r="AB62" i="2"/>
  <c r="AA62" i="2"/>
  <c r="AB12" i="2"/>
  <c r="AA12" i="2"/>
  <c r="AB47" i="2"/>
  <c r="AA47" i="2"/>
  <c r="AB63" i="2"/>
  <c r="AA63" i="2"/>
  <c r="AB58" i="2"/>
  <c r="AA58" i="2"/>
  <c r="AB61" i="2"/>
  <c r="AA61" i="2"/>
  <c r="AB48" i="2"/>
  <c r="AA48" i="2"/>
  <c r="X90" i="2"/>
  <c r="Y90" i="2"/>
  <c r="D98" i="2"/>
  <c r="K43" i="2"/>
  <c r="K42" i="2"/>
  <c r="K41" i="2"/>
  <c r="K39" i="2"/>
  <c r="K38" i="2"/>
  <c r="K37" i="2"/>
  <c r="AB37" i="2" l="1"/>
  <c r="AA37" i="2"/>
  <c r="AB22" i="2"/>
  <c r="AA22" i="2"/>
  <c r="AB39" i="2"/>
  <c r="AA39" i="2"/>
  <c r="AB23" i="2"/>
  <c r="AA23" i="2"/>
  <c r="AB41" i="2"/>
  <c r="AA41" i="2"/>
  <c r="AB28" i="2"/>
  <c r="AA28" i="2"/>
  <c r="AB27" i="2"/>
  <c r="AA27" i="2"/>
  <c r="AB38" i="2"/>
  <c r="AA38" i="2"/>
  <c r="AB24" i="2"/>
  <c r="AA24" i="2"/>
  <c r="AB42" i="2"/>
  <c r="AA42" i="2"/>
  <c r="AB26" i="2"/>
  <c r="AA26" i="2"/>
  <c r="AB43" i="2"/>
  <c r="AA43" i="2"/>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2" i="3"/>
  <c r="K17" i="2" l="1"/>
  <c r="K16" i="2"/>
  <c r="AB17" i="2" l="1"/>
  <c r="AA17" i="2"/>
  <c r="AB15" i="2"/>
  <c r="AA15" i="2"/>
  <c r="AB16" i="2"/>
  <c r="AA16" i="2"/>
  <c r="AB11" i="2" l="1"/>
  <c r="AA11" i="2"/>
  <c r="AB13" i="2"/>
  <c r="AA13" i="2"/>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2" i="3"/>
  <c r="A3" i="3"/>
  <c r="A4" i="3" s="1"/>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B4" i="2" l="1"/>
  <c r="AA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tc={1AB0EC4C-86C9-4067-8E30-32E981AF6A76}</author>
    <author>tc={1B3BEBC6-8301-0940-8823-166952F6D7FC}</author>
    <author>tc={3AA6694E-75B1-4677-9400-B767D3E79449}</author>
    <author>tc={2BF08C61-4671-4BB0-B8A6-DD1AAB44A4E2}</author>
    <author>tc={2FF1B83B-4952-4966-B4B1-47B3AC049632}</author>
    <author>tc={F6865C1A-8659-4D0C-9CFD-0A520F68BF51}</author>
    <author>tc={6A4E3BDC-584F-1346-BF51-598A89836273}</author>
    <author>tc={368934F8-D933-024D-9355-5B191B79D6E7}</author>
    <author>tc={25250E12-7DF8-42FE-A9C3-6F5AE6FD64C9}</author>
    <author>tc={BDE8F098-EF81-461E-B745-0627E6989C51}</author>
    <author>tc={8C62D7C0-F520-42A3-9908-A880BA4D938B}</author>
    <author>tc={335259DE-3294-4740-8C40-6B23AE73FFDB}</author>
  </authors>
  <commentList>
    <comment ref="J5" authorId="0" shapeId="0" xr:uid="{1AB0EC4C-86C9-4067-8E30-32E981AF6A76}">
      <text>
        <t>[Threaded comment]
Your version of Excel allows you to read this threaded comment; however, any edits to it will get removed if the file is opened in a newer version of Excel. Learn more: https://go.microsoft.com/fwlink/?linkid=870924
Comment:
    the average of two values in the NRC website</t>
      </text>
    </comment>
    <comment ref="N80" authorId="1" shapeId="0" xr:uid="{1B3BEBC6-8301-0940-8823-166952F6D7FC}">
      <text>
        <t xml:space="preserve">[Threaded comment]
Your version of Excel allows you to read this threaded comment; however, any edits to it will get removed if the file is opened in a newer version of Excel. Learn more: https://go.microsoft.com/fwlink/?linkid=870924
Comment:
    Since the cost of the BeO of the drums was not available, the cost of the BeO reflector is divided by its mass to get a unit cost for the BeO
</t>
      </text>
    </comment>
    <comment ref="N81" authorId="2" shapeId="0" xr:uid="{3AA6694E-75B1-4677-9400-B767D3E79449}">
      <text>
        <t xml:space="preserve">[Threaded comment]
Your version of Excel allows you to read this threaded comment; however, any edits to it will get removed if the file is opened in a newer version of Excel. Learn more: https://go.microsoft.com/fwlink/?linkid=870924
Comment:
    Since the cost of the BeO of the drums was not available, the cost of the BeO reflector is divided by its mass to get a unit cost for the BeO
</t>
      </text>
    </comment>
    <comment ref="A83" authorId="3" shapeId="0" xr:uid="{2BF08C61-4671-4BB0-B8A6-DD1AAB44A4E2}">
      <text>
        <t>[Threaded comment]
Your version of Excel allows you to read this threaded comment; however, any edits to it will get removed if the file is opened in a newer version of Excel. Learn more: https://go.microsoft.com/fwlink/?linkid=870924
Comment:
    Added control rod/drum drive mechanism.  Assuming:
 1drum:1drive
 n_rod:1drive (Reactor design dependent)
Reply:
    Ganda 2018: reports a cost of 610,000 $/drive (based on CE 1978 LMFBR cost), which is also quoted by Sai</t>
      </text>
    </comment>
    <comment ref="A85" authorId="4" shapeId="0" xr:uid="{2FF1B83B-4952-4966-B4B1-47B3AC049632}">
      <text>
        <t>[Threaded comment]
Your version of Excel allows you to read this threaded comment; however, any edits to it will get removed if the file is opened in a newer version of Excel. Learn more: https://go.microsoft.com/fwlink/?linkid=870924
Comment:
    Todo: Update when we get feedback on BeO/Be costs</t>
      </text>
    </comment>
    <comment ref="A86" authorId="5" shapeId="0" xr:uid="{F6865C1A-8659-4D0C-9CFD-0A520F68BF51}">
      <text>
        <t>[Threaded comment]
Your version of Excel allows you to read this threaded comment; however, any edits to it will get removed if the file is opened in a newer version of Excel. Learn more: https://go.microsoft.com/fwlink/?linkid=870924
Comment:
    Todo: Update when we get feedback on BeO/Be costs</t>
      </text>
    </comment>
    <comment ref="N90" authorId="6" shapeId="0" xr:uid="{6A4E3BDC-584F-1346-BF51-598A89836273}">
      <text>
        <t>[Threaded comment]
Your version of Excel allows you to read this threaded comment; however, any edits to it will get removed if the file is opened in a newer version of Excel. Learn more: https://go.microsoft.com/fwlink/?linkid=870924
Comment:
    Cost data about B4C are based on the B4C of the control drums</t>
      </text>
    </comment>
    <comment ref="L100" authorId="7" shapeId="0" xr:uid="{368934F8-D933-024D-9355-5B191B79D6E7}">
      <text>
        <t xml:space="preserve">[Threaded comment]
Your version of Excel allows you to read this threaded comment; however, any edits to it will get removed if the file is opened in a newer version of Excel. Learn more: https://go.microsoft.com/fwlink/?linkid=870924
Comment:
    The primary pump needs to be expensive!!
</t>
      </text>
    </comment>
    <comment ref="K119" authorId="8" shapeId="0" xr:uid="{25250E12-7DF8-42FE-A9C3-6F5AE6FD64C9}">
      <text>
        <t>[Threaded comment]
Your version of Excel allows you to read this threaded comment; however, any edits to it will get removed if the file is opened in a newer version of Excel. Learn more: https://go.microsoft.com/fwlink/?linkid=870924
Comment:
    Baseline Cost: 8844770 1978USD
Escalation (to 2023): 8.155</t>
      </text>
    </comment>
    <comment ref="J145" authorId="9" shapeId="0" xr:uid="{BDE8F098-EF81-461E-B745-0627E6989C51}">
      <text>
        <t>[Threaded comment]
Your version of Excel allows you to read this threaded comment; however, any edits to it will get removed if the file is opened in a newer version of Excel. Learn more: https://go.microsoft.com/fwlink/?linkid=870924
Comment:
    The cost is multiplied by 0.5 since the
 shipping included international shipping</t>
      </text>
    </comment>
    <comment ref="C157" authorId="10" shapeId="0" xr:uid="{8C62D7C0-F520-42A3-9908-A880BA4D938B}">
      <text>
        <t>[Threaded comment]
Your version of Excel allows you to read this threaded comment; however, any edits to it will get removed if the file is opened in a newer version of Excel. Learn more: https://go.microsoft.com/fwlink/?linkid=870924
Comment:
    Variable costs that are not fuel-based, such as borated water, control rods, burnable poisons, and other consumable 
Reply:
    For the GCMR, likley includes replacement coolant, CO2 refill, etc.</t>
      </text>
    </comment>
    <comment ref="C161" authorId="11" shapeId="0" xr:uid="{335259DE-3294-4740-8C40-6B23AE73FFDB}">
      <text>
        <t>[Threaded comment]
Your version of Excel allows you to read this threaded comment; however, any edits to it will get removed if the file is opened in a newer version of Excel. Learn more: https://go.microsoft.com/fwlink/?linkid=870924
Comment:
    Upgrades to maintain or improve plant capacity, meet future regulatory requirements, or plant life extensions. These costs are considered "sustaining capital" for continued plant operation and performance. 
Reply:
    Will allocate vessel, internals, IHX replacement, etc.</t>
      </text>
    </comment>
  </commentList>
</comments>
</file>

<file path=xl/sharedStrings.xml><?xml version="1.0" encoding="utf-8"?>
<sst xmlns="http://schemas.openxmlformats.org/spreadsheetml/2006/main" count="2025" uniqueCount="557">
  <si>
    <t>Account</t>
  </si>
  <si>
    <t>Account Title</t>
  </si>
  <si>
    <t>Capitalized Pre-Construction Costs</t>
  </si>
  <si>
    <t>Land Cost</t>
  </si>
  <si>
    <t>Plant Licensing</t>
  </si>
  <si>
    <t>Plant Studies</t>
  </si>
  <si>
    <t>Capitalized Direct Costs</t>
  </si>
  <si>
    <t>Structures and Improvements</t>
  </si>
  <si>
    <t>Reactor Island Civil Structures</t>
  </si>
  <si>
    <t xml:space="preserve">Buildings to Support Main Function </t>
  </si>
  <si>
    <t>Reactor System</t>
  </si>
  <si>
    <t>Reactor Components</t>
  </si>
  <si>
    <t>Reactivity Control System Fabrication</t>
  </si>
  <si>
    <t>Reflector</t>
  </si>
  <si>
    <t>Shield</t>
  </si>
  <si>
    <t>Main Heat Transport System</t>
  </si>
  <si>
    <t>Reactor Heat Transfer Piping System</t>
  </si>
  <si>
    <t>Heat Exchangers</t>
  </si>
  <si>
    <t>Secondary Heat Exchanger</t>
  </si>
  <si>
    <t>Safety Systems</t>
  </si>
  <si>
    <t>Reactor Instrumentation and Control (I&amp;C)</t>
  </si>
  <si>
    <t>Energy Conversion System </t>
  </si>
  <si>
    <t>Energy Applications</t>
  </si>
  <si>
    <t>Electrical Equipment</t>
  </si>
  <si>
    <t>Initial Fuel Inventory</t>
  </si>
  <si>
    <t>First Core Mining</t>
  </si>
  <si>
    <t>First Core Conversion </t>
  </si>
  <si>
    <t>First Core Enrichment </t>
  </si>
  <si>
    <t>First Core Fuel Assembly Fabrication </t>
  </si>
  <si>
    <t>Capitalized Indirect Services Cost</t>
  </si>
  <si>
    <t>Factory &amp; Field Indirect Costs </t>
  </si>
  <si>
    <t>Startup Costs</t>
  </si>
  <si>
    <t>Shipping and Transportation Costs</t>
  </si>
  <si>
    <t>Engineering Services</t>
  </si>
  <si>
    <t xml:space="preserve">Capitalized Financial Costs </t>
  </si>
  <si>
    <t>Interest</t>
  </si>
  <si>
    <t xml:space="preserve">Annualized O&amp;M Cost </t>
  </si>
  <si>
    <t>O&amp;M Staff</t>
  </si>
  <si>
    <t>Operators </t>
  </si>
  <si>
    <t>Remote Monitoring Technicians </t>
  </si>
  <si>
    <t>Security Staff </t>
  </si>
  <si>
    <t>Capital Plant Expenditures</t>
  </si>
  <si>
    <t>Annualized Decommissioning Cost</t>
  </si>
  <si>
    <t>Annualized Fuel Cost</t>
  </si>
  <si>
    <t>Refueling Operations</t>
  </si>
  <si>
    <t>Additional Nuclear Fuel</t>
  </si>
  <si>
    <t>Spent Fuel Management</t>
  </si>
  <si>
    <t>Year</t>
  </si>
  <si>
    <t>Exponent</t>
  </si>
  <si>
    <t>Dollar Year</t>
  </si>
  <si>
    <t>Unit Cost (units)</t>
  </si>
  <si>
    <t>Source</t>
  </si>
  <si>
    <t>Site Permits</t>
  </si>
  <si>
    <t>The average cost per acre for rural land in 2022 from the US Department of Agriculture</t>
  </si>
  <si>
    <t>Ref</t>
  </si>
  <si>
    <t>Link</t>
  </si>
  <si>
    <t>https://inldigitallibrary.inl.gov/sites/sti/sti/Sort_107010.pdf</t>
  </si>
  <si>
    <t>Data from SMR MHTGRs</t>
  </si>
  <si>
    <t>NGNP project</t>
  </si>
  <si>
    <t>https://art.inl.gov/NGNP/INL%20Documents/Year%202012/Assessment%20of%20High%20Temperature%20Gas-Cooled%20Reactor%20-%20HTGR%20-%20Capital%20and%20Operating%20Costs.pdf</t>
  </si>
  <si>
    <t>MARVEL Project (Labor-adjusted Cost)</t>
  </si>
  <si>
    <t>https://inldigitallibrary.inl.gov/sites/sti/sti/Sort_129862.pdf</t>
  </si>
  <si>
    <t>Notes</t>
  </si>
  <si>
    <t>MARVEL's data were updated</t>
  </si>
  <si>
    <t>Scaling Variable</t>
  </si>
  <si>
    <t>Scaling Variable Ref Value</t>
  </si>
  <si>
    <t>Units</t>
  </si>
  <si>
    <t>$/MWe</t>
  </si>
  <si>
    <t>Land Area</t>
  </si>
  <si>
    <t>MWe</t>
  </si>
  <si>
    <t>$/acres</t>
  </si>
  <si>
    <t>Power MWe</t>
  </si>
  <si>
    <t>Labor</t>
  </si>
  <si>
    <t>Material</t>
  </si>
  <si>
    <t>Equipment</t>
  </si>
  <si>
    <t>General</t>
  </si>
  <si>
    <t>Type</t>
  </si>
  <si>
    <t>Lab and Mat and Equip</t>
  </si>
  <si>
    <t>acres</t>
  </si>
  <si>
    <t>$/m^3</t>
  </si>
  <si>
    <t>Excavation Volume</t>
  </si>
  <si>
    <t>m^3</t>
  </si>
  <si>
    <t>RSMeans software: a tool that primarily provides costs for non-nuclear work
Nuclear Multiplier have been applied to adjust the costs for nuclear-site-related work</t>
  </si>
  <si>
    <t>GORDIAN. (2024). "RSMeans data. 
&amp;
Delene, J. G. and I. Hudson, C. R. (1993). Cost estimate guidelines for advanced nuclear power technologies. United States, Oak Ridge National Lab. (ORNL), Oak Ridge, TN (United States): Medium: ED; Size: 159 p.</t>
  </si>
  <si>
    <t>https://www.rsmeans.com/
&amp;
https://www.osti.gov/biblio/10176857</t>
  </si>
  <si>
    <t>Lab and Equip</t>
  </si>
  <si>
    <t>Reactor Building Slab Roof Volume</t>
  </si>
  <si>
    <t>Control Building Slab Roof Volume</t>
  </si>
  <si>
    <t>Refueling Building Slab Roof Volume</t>
  </si>
  <si>
    <t>Spent Fuel Building Slab Roof Volume</t>
  </si>
  <si>
    <t>Turbine Building Slab Roof Volume</t>
  </si>
  <si>
    <t>Reactor Building Basement Volume</t>
  </si>
  <si>
    <t>Reactor Building Exterior Walls Volume</t>
  </si>
  <si>
    <t>Turbine Building Basement Volume</t>
  </si>
  <si>
    <t>Control Building Basement Volume</t>
  </si>
  <si>
    <t>Refueling Building Basement Volume</t>
  </si>
  <si>
    <t>Refueling Building Exterior Walls Volume</t>
  </si>
  <si>
    <t>Spent Fuel Building Basement Volume</t>
  </si>
  <si>
    <t>Spent Fuel Building Exterior Walls Volume</t>
  </si>
  <si>
    <t>Site Preparation/ Yard Work</t>
  </si>
  <si>
    <t>Cleaning and Grubbing</t>
  </si>
  <si>
    <t>Stripping Topsoil</t>
  </si>
  <si>
    <t>Excavation</t>
  </si>
  <si>
    <t>Reactor Building Slab Roof</t>
  </si>
  <si>
    <t>Reactor Building Walls</t>
  </si>
  <si>
    <t>Control building</t>
  </si>
  <si>
    <t>Refueling Building Slab Roof</t>
  </si>
  <si>
    <t>Refueling Building Walls</t>
  </si>
  <si>
    <t>Spent Fuel Building Slab Roof</t>
  </si>
  <si>
    <t>Spent Fuel Building Walls</t>
  </si>
  <si>
    <t>Energy Conversion Building Slab Roof</t>
  </si>
  <si>
    <t>Energy Conversion Building Walls</t>
  </si>
  <si>
    <t>Control Building Slab Roof</t>
  </si>
  <si>
    <t>Control Building Walls</t>
  </si>
  <si>
    <t>Refueling Building</t>
  </si>
  <si>
    <t>Spent Fuel Building</t>
  </si>
  <si>
    <t>Level</t>
  </si>
  <si>
    <t>Account Name</t>
  </si>
  <si>
    <t>Energy Conversion Building Basement</t>
  </si>
  <si>
    <t>Refueling Building Basement</t>
  </si>
  <si>
    <t>Plant Permits</t>
  </si>
  <si>
    <t>Reactor Building Basement</t>
  </si>
  <si>
    <t>Main Function Buildings</t>
  </si>
  <si>
    <t>Energy conversion Building</t>
  </si>
  <si>
    <t>Control Building Basement</t>
  </si>
  <si>
    <t>Fuel Management Buildings</t>
  </si>
  <si>
    <t>Spent Fuel Building Basement</t>
  </si>
  <si>
    <t>Reactor Vessel and Accessories</t>
  </si>
  <si>
    <t>Reactor Support</t>
  </si>
  <si>
    <t>Outer Vessel Structure</t>
  </si>
  <si>
    <t>Inner Vessel Structure</t>
  </si>
  <si>
    <t>Reactor Control Devices</t>
  </si>
  <si>
    <t>Reactivity Control System </t>
  </si>
  <si>
    <t>Installation</t>
  </si>
  <si>
    <t>Non-Fuel Core Internals</t>
  </si>
  <si>
    <t>In Vessel Shield Materials</t>
  </si>
  <si>
    <t>Out The Vessel Shield Materials</t>
  </si>
  <si>
    <t>Reactor Cavity Cooling System (Rvacs)</t>
  </si>
  <si>
    <t>Rvacs (Cooling Vessel)</t>
  </si>
  <si>
    <t>Rvacs (Intake Vessel)</t>
  </si>
  <si>
    <t>Miscellaneous Equipment (Cranes)</t>
  </si>
  <si>
    <r>
      <t xml:space="preserve">Gandrik, A., B. Wallace, L. Demick, S. Melancon and M. Patterson (2011). "Assessment of high temperature gas-cooled reactor (HTGR) capital and operating costs." </t>
    </r>
    <r>
      <rPr>
        <u/>
        <sz val="10"/>
        <color theme="1"/>
        <rFont val="Times New Roman"/>
        <family val="1"/>
      </rPr>
      <t>Idaho National Laboratory, TEV-1196, Idaho Falls, ID</t>
    </r>
    <r>
      <rPr>
        <sz val="10"/>
        <color theme="1"/>
        <rFont val="Times New Roman"/>
        <family val="1"/>
      </rPr>
      <t>.</t>
    </r>
  </si>
  <si>
    <t>Control Building Exterior Walls Volume</t>
  </si>
  <si>
    <t>Emergency Building</t>
  </si>
  <si>
    <t>Emergency and Start-up Power Systems Building</t>
  </si>
  <si>
    <t>Diesel Generator</t>
  </si>
  <si>
    <t>Emergency Building Slab Roof</t>
  </si>
  <si>
    <t>Emergency Building Basement</t>
  </si>
  <si>
    <t>Emergency Building Walls</t>
  </si>
  <si>
    <t>Emergency Building Slab Roof Volume</t>
  </si>
  <si>
    <t>Emergency Building Basement Volume</t>
  </si>
  <si>
    <t>Emergency Building Exterior Walls Volume</t>
  </si>
  <si>
    <t>MWt</t>
  </si>
  <si>
    <t>$/MWt</t>
  </si>
  <si>
    <t>Power MWt</t>
  </si>
  <si>
    <t>MARVEL (for the cost of the diesel generator) 
The exponent is based on the work by Koruoush considering cost scaling from nuclear ad non nuclear power plants. When using the power as scaling variable, the exponent ranges between 0..6 and 0.8 so 0.7 is used here</t>
  </si>
  <si>
    <t>Hanna, B. N., Gonzaga de Oliveira, R. G., Mohammad Al Dawood, K. A., Patterson, M. D., Abou Jaoude, A., &amp; Garcia, S. (2024). Technoeconomic Evaluation of Microreactor Using Detailed Bottom-up Estimate (No. INL/RPT-24-80433-Rev000). Idaho National Laboratory (INL), Idaho Falls, ID (United States).
Stewart, W. R., &amp; Shirvan, K. (2022). Capital cost estimation for advanced nuclear power plants. Renewable and Sustainable Energy Reviews, 155, 111880.</t>
  </si>
  <si>
    <t>https://inldigitallibrary.inl.gov/sites/sti/sti/Sort_129862.pdf
https://www.sciencedirect.com/science/article/pii/S1364032121011473</t>
  </si>
  <si>
    <t>Supply Chain Buildings</t>
  </si>
  <si>
    <t>Radwaste Building</t>
  </si>
  <si>
    <t>Storage Building</t>
  </si>
  <si>
    <t>Storage Building Slab Roof</t>
  </si>
  <si>
    <t>Storage Building Basement</t>
  </si>
  <si>
    <t>Storage Building Walls</t>
  </si>
  <si>
    <t>Radwaste Building Basement</t>
  </si>
  <si>
    <t>Radwaste Building Slab Roof</t>
  </si>
  <si>
    <t>Radwaste Building Walls</t>
  </si>
  <si>
    <t>Storage Building Slab Roof Volume</t>
  </si>
  <si>
    <t>Storage Building Basement Volume</t>
  </si>
  <si>
    <t>Storage Building Exterior Walls Volume</t>
  </si>
  <si>
    <t>Radwaste Building Slab Roof Volume</t>
  </si>
  <si>
    <t>Radwaste Building Basement Volume</t>
  </si>
  <si>
    <t>Radwaste Building Exterior Walls Volume</t>
  </si>
  <si>
    <t>Kg</t>
  </si>
  <si>
    <t>$/Kg</t>
  </si>
  <si>
    <t xml:space="preserve">MARVEL Project </t>
  </si>
  <si>
    <t>Updated MARVEL Cost Estimate + Communication with MARVEL Team</t>
  </si>
  <si>
    <t>Vessel Mass</t>
  </si>
  <si>
    <t>Unit cost is the cost of support structure divided by the cost of guard vessel plus PCS</t>
  </si>
  <si>
    <t>Unit cost if the PCS cost (in MARVEL) divided by the PCS mass in MARVEL</t>
  </si>
  <si>
    <t>Guard Vessel Mass</t>
  </si>
  <si>
    <t>Control Drums Materials (Absorber)</t>
  </si>
  <si>
    <t>Control Drums Materials (Reflector)</t>
  </si>
  <si>
    <t>Control Drum Reflector Mass</t>
  </si>
  <si>
    <t>The scaling variable here is the total mass of all the control drums</t>
  </si>
  <si>
    <t>Control Drum Absorber Mass</t>
  </si>
  <si>
    <t>B4C_natural</t>
  </si>
  <si>
    <t>Reactor support</t>
  </si>
  <si>
    <t>Reactor vessel and accessories</t>
  </si>
  <si>
    <t>Account ID</t>
  </si>
  <si>
    <t>TOTAL</t>
  </si>
  <si>
    <t>Site Preparation/Yard Work</t>
  </si>
  <si>
    <t>Emergency and Start-up Power Systems</t>
  </si>
  <si>
    <t>Miscellaneous Other Structures</t>
  </si>
  <si>
    <t>Outer vessel structure</t>
  </si>
  <si>
    <t>Inner vessel structure</t>
  </si>
  <si>
    <t>Reactor control devices</t>
  </si>
  <si>
    <t>Reactivity control system</t>
  </si>
  <si>
    <t>Non-fuel core internals</t>
  </si>
  <si>
    <t>Moderator</t>
  </si>
  <si>
    <t>222</t>
  </si>
  <si>
    <t>Fluid circulation drive system</t>
  </si>
  <si>
    <t>Reactor Heat Hransfer Piping System</t>
  </si>
  <si>
    <t>Pressurizer System</t>
  </si>
  <si>
    <t>Initial Heat Transfer Fluid Inventory</t>
  </si>
  <si>
    <t>224</t>
  </si>
  <si>
    <t>Radioactive Byproduct Processing Systems</t>
  </si>
  <si>
    <t>226</t>
  </si>
  <si>
    <t>Other Reactor Plant Equipment</t>
  </si>
  <si>
    <t>227</t>
  </si>
  <si>
    <t>228</t>
  </si>
  <si>
    <t>Reactor Plant Miscellaneous Items</t>
  </si>
  <si>
    <t>Energy Conversion System</t>
  </si>
  <si>
    <t>Electricity Generation Systems</t>
  </si>
  <si>
    <t>244</t>
  </si>
  <si>
    <t>Protective Systems Equipment</t>
  </si>
  <si>
    <t>245</t>
  </si>
  <si>
    <t>Electrical Raceway Systems</t>
  </si>
  <si>
    <t>246</t>
  </si>
  <si>
    <t>Power and Control Cables and Wiring</t>
  </si>
  <si>
    <t>254 </t>
  </si>
  <si>
    <t>Miscellaneous Equipment</t>
  </si>
  <si>
    <t>Field Shops</t>
  </si>
  <si>
    <t>Commissioning and Trial Test Runs</t>
  </si>
  <si>
    <t>Initial Fuel Loading Operations</t>
  </si>
  <si>
    <t>Test Runs</t>
  </si>
  <si>
    <t>Fuel Shipping and Transportation </t>
  </si>
  <si>
    <t>Other Shipping and Transportation Costs</t>
  </si>
  <si>
    <t>Off-Site</t>
  </si>
  <si>
    <t>On-Site</t>
  </si>
  <si>
    <t>PM/CM Services</t>
  </si>
  <si>
    <t>Capitalized Training Costs</t>
  </si>
  <si>
    <t>Staff Recruitment and Training</t>
  </si>
  <si>
    <t>Capitalized Supplementary Costs</t>
  </si>
  <si>
    <t>Decommissioning</t>
  </si>
  <si>
    <t>Escalation</t>
  </si>
  <si>
    <t>Non-Recurrung Costs</t>
  </si>
  <si>
    <t>Variable</t>
  </si>
  <si>
    <t>Value</t>
  </si>
  <si>
    <t>Description</t>
  </si>
  <si>
    <t>Overall System</t>
  </si>
  <si>
    <t>Thermal power</t>
  </si>
  <si>
    <t>kWth</t>
  </si>
  <si>
    <t> —</t>
  </si>
  <si>
    <t>Electric Power</t>
  </si>
  <si>
    <t>kWe</t>
  </si>
  <si>
    <t>Core outer radius</t>
  </si>
  <si>
    <t>inches</t>
  </si>
  <si>
    <t>Reflector outer radius</t>
  </si>
  <si>
    <t>Fuel</t>
  </si>
  <si>
    <t>Fuel mass</t>
  </si>
  <si>
    <t>kg</t>
  </si>
  <si>
    <t>UZrH</t>
  </si>
  <si>
    <t>U Weight fraction</t>
  </si>
  <si>
    <t>wt%</t>
  </si>
  <si>
    <t>U/UZrH</t>
  </si>
  <si>
    <t>U enrichment</t>
  </si>
  <si>
    <t>High-assay low-enriched uranium (HALEU)</t>
  </si>
  <si>
    <t>Pins</t>
  </si>
  <si>
    <t>#</t>
  </si>
  <si>
    <t>Outer reflector material</t>
  </si>
  <si>
    <t>BeO</t>
  </si>
  <si>
    <t>99% theoretical density</t>
  </si>
  <si>
    <t>Elements</t>
  </si>
  <si>
    <t>Quarter plates</t>
  </si>
  <si>
    <t>Reflector plate thickness</t>
  </si>
  <si>
    <t>Reflector plate volume</t>
  </si>
  <si>
    <r>
      <t>cm</t>
    </r>
    <r>
      <rPr>
        <vertAlign val="superscript"/>
        <sz val="10"/>
        <color rgb="FF000000"/>
        <rFont val="Times New Roman"/>
        <family val="1"/>
      </rPr>
      <t>3</t>
    </r>
    <r>
      <rPr>
        <sz val="10"/>
        <color rgb="FF000000"/>
        <rFont val="Times New Roman"/>
        <family val="1"/>
      </rPr>
      <t>/plate</t>
    </r>
  </si>
  <si>
    <t>Mass of BeO reflector</t>
  </si>
  <si>
    <t>Insert volume</t>
  </si>
  <si>
    <t>Mass of Be-metal reflector</t>
  </si>
  <si>
    <t>MT</t>
  </si>
  <si>
    <t>Control Elements</t>
  </si>
  <si>
    <t>Control drums</t>
  </si>
  <si>
    <t>Shutdown rods</t>
  </si>
  <si>
    <t>Control drum elements</t>
  </si>
  <si>
    <t>Discs</t>
  </si>
  <si>
    <t>Drum disc thickness</t>
  </si>
  <si>
    <t>Drum reflector volume</t>
  </si>
  <si>
    <t>BeO 99%</t>
  </si>
  <si>
    <t>Mass of drum reflector</t>
  </si>
  <si>
    <t>Drum poison volume</t>
  </si>
  <si>
    <r>
      <t>B</t>
    </r>
    <r>
      <rPr>
        <vertAlign val="subscript"/>
        <sz val="10"/>
        <color rgb="FF000000"/>
        <rFont val="Times New Roman"/>
        <family val="1"/>
      </rPr>
      <t>4</t>
    </r>
    <r>
      <rPr>
        <sz val="10"/>
        <color rgb="FF000000"/>
        <rFont val="Times New Roman"/>
        <family val="1"/>
      </rPr>
      <t>C</t>
    </r>
  </si>
  <si>
    <t>Mass of drum poison</t>
  </si>
  <si>
    <t>Mass of rod poison</t>
  </si>
  <si>
    <t>Instruments and Controls</t>
  </si>
  <si>
    <t>Control cabinet</t>
  </si>
  <si>
    <t>Instrument cabinet</t>
  </si>
  <si>
    <t>Nuclear input/output (IO)</t>
  </si>
  <si>
    <t>Non-nuclear IO</t>
  </si>
  <si>
    <t>Stirling engine IO</t>
  </si>
  <si>
    <t>These should be excluded if there no stirling engine?</t>
  </si>
  <si>
    <t>Shielding in Vessel</t>
  </si>
  <si>
    <t>Stainless Steel cans</t>
  </si>
  <si>
    <t> Stainless Steel cans of the boron carbide shielding material (SS316H)</t>
  </si>
  <si>
    <t>Gamma shield material</t>
  </si>
  <si>
    <t>Gamma shield material inside the guard vessel (of Tungsten)</t>
  </si>
  <si>
    <t xml:space="preserve">Neutron shield material in the guard vessel </t>
  </si>
  <si>
    <t> made of natural B4C powder and is located above the core (a donut around the core barrel)—</t>
  </si>
  <si>
    <t xml:space="preserve">Boron Carbine shielding </t>
  </si>
  <si>
    <t> made of natural B4C (called base shield) below the core</t>
  </si>
  <si>
    <t>Radial (lead)</t>
  </si>
  <si>
    <t> lead</t>
  </si>
  <si>
    <t>Radial (WEP)</t>
  </si>
  <si>
    <t xml:space="preserve">made of Water Extended Polyster (WEP) </t>
  </si>
  <si>
    <t>Shielding in Pit</t>
  </si>
  <si>
    <t>Mass of the pit neutron shielding</t>
  </si>
  <si>
    <t>Approximated 6-in.-thick covering whole pit and made of Water-extruded poly (WEP)</t>
  </si>
  <si>
    <t>Heat Transfer</t>
  </si>
  <si>
    <t xml:space="preserve">Mass of coolant  </t>
  </si>
  <si>
    <t>—</t>
  </si>
  <si>
    <t>Number of loops</t>
  </si>
  <si>
    <t>— </t>
  </si>
  <si>
    <t>Mass of PCSs</t>
  </si>
  <si>
    <t>SS316H</t>
  </si>
  <si>
    <t>Subassembly Structure Masses</t>
  </si>
  <si>
    <t>Reactor support frame</t>
  </si>
  <si>
    <t>Guard vessel</t>
  </si>
  <si>
    <t>TOTAL COST (2024 USD)</t>
  </si>
  <si>
    <t>Reactor Heat Hransfer Piping System (Mat)</t>
  </si>
  <si>
    <t>Reactor Heat Hransfer Piping System (Fabrication)</t>
  </si>
  <si>
    <t>Reactor Heat Hransfer Piping System (Installation)</t>
  </si>
  <si>
    <t>Reflector (Materials: BeO)</t>
  </si>
  <si>
    <t>Reflector (installation</t>
  </si>
  <si>
    <t>Reflector (Materials: Be Metal)</t>
  </si>
  <si>
    <t>Optional Variable</t>
  </si>
  <si>
    <t>Optional Value</t>
  </si>
  <si>
    <t>Control Drum Reflector</t>
  </si>
  <si>
    <t>Control Drum Absorber</t>
  </si>
  <si>
    <t>Total Vessels Mass</t>
  </si>
  <si>
    <t>Reflector Mass</t>
  </si>
  <si>
    <t>WEP</t>
  </si>
  <si>
    <t>ZrH</t>
  </si>
  <si>
    <t>Graphite</t>
  </si>
  <si>
    <t>Moderator Mass</t>
  </si>
  <si>
    <t>the Fuel SA&amp;I Cost Basis Report</t>
  </si>
  <si>
    <t>Abou-Jaoude, A., C. S. Lohse, L. M. Larsen, N. Guaita, I. Trivedi, F. C. Joseck, E. Hoffman, N. Stauff, K. Shirvan and A. Stein (2024). Meta-Analysis of Advanced Nuclear Reactor Cost Estimations, Idaho National Laboratory (INL), Idaho Falls, ID (United States).</t>
  </si>
  <si>
    <t>Primary Pump Mechanical Power</t>
  </si>
  <si>
    <t>Secondary Pump Mechanical Power</t>
  </si>
  <si>
    <t>Data from non-nuclear power plant</t>
  </si>
  <si>
    <t>Standard Cost Equation?</t>
  </si>
  <si>
    <t>standard</t>
  </si>
  <si>
    <t>nonstandard</t>
  </si>
  <si>
    <t>Data from non-nuclear power plant + Ratio of safety grade pump nomalized cost compared to non-safety grade pump is btween 10 and 15 (12.5 ratio was used, from the EEDB (Ganda 2019, Figure 23)</t>
  </si>
  <si>
    <t>https://www.sciencedirect.com/science/article/pii/S1290072903000218
https://publications.anl.gov/anlpubs/2019/06/152862.pdf</t>
  </si>
  <si>
    <t>$/(kg.sec)</t>
  </si>
  <si>
    <t>Fixed Cost ($)</t>
  </si>
  <si>
    <t>Secondary Pump</t>
  </si>
  <si>
    <t>Primary Pump</t>
  </si>
  <si>
    <t>From EEBD</t>
  </si>
  <si>
    <t>Ganda, F., Hoffman, E., Taiwo, T. A., Kim, T. K., &amp; Hansen, J. (2019). Report on the ACCERT cost algorithms tool (No. ANL/NSE-19/10). Argonne National Lab.(ANL), Argonne, IL (United States).</t>
  </si>
  <si>
    <t>reactor type</t>
  </si>
  <si>
    <t>Fluid Circulation Drive System</t>
  </si>
  <si>
    <t>Compressor</t>
  </si>
  <si>
    <t>GCMR</t>
  </si>
  <si>
    <t>Yes</t>
  </si>
  <si>
    <t>Primary Heat Exchanger</t>
  </si>
  <si>
    <t>Primary HX Mass</t>
  </si>
  <si>
    <t>Secondary HX Mass</t>
  </si>
  <si>
    <t>Non Nuclear Plants</t>
  </si>
  <si>
    <t>Gezelius, K. (2004). Design of compact intermediate heat exchangers for gas cooled fast reactors, Massachusetts Institute of Technology.</t>
  </si>
  <si>
    <t>Yoon, S.-J., P. Sabharwall and E.-S. Kim (2013). Analytical study on thermal and mechanical design of printed circuit heat exchanger, Idaho National Lab.(INL), Idaho Falls, ID (United States).</t>
  </si>
  <si>
    <t>Cooling Vessel Mass</t>
  </si>
  <si>
    <t>Intake Vessel Mass</t>
  </si>
  <si>
    <t>MARVEL</t>
  </si>
  <si>
    <t>Stewart, W. R., &amp; Shirvan, K. (2022). Capital cost estimation for advanced nuclear power plants. Renewable and Sustainable Energy Reviews, 155, 111880.</t>
  </si>
  <si>
    <t>$/SWU</t>
  </si>
  <si>
    <t>Natural Uranium Mass</t>
  </si>
  <si>
    <t>SWU</t>
  </si>
  <si>
    <t>Uranium Mass</t>
  </si>
  <si>
    <t>TRISO Fueled</t>
  </si>
  <si>
    <t>No</t>
  </si>
  <si>
    <t>A study for the mass manufacruing and factory fabrication of microreactors</t>
  </si>
  <si>
    <t>Abou-Jaoude, A., Arafat, Yasir, Foss, Andrew Wilkin, and Dixon, Brent W (2021). An Economics-by-Design Approach Applied to a Heat Pipe Microreactor Concept. 2021. Idaho National Laboratory: Idaho Falls, ID, Idaho National Laboratory.</t>
  </si>
  <si>
    <t>Factory &amp; field indirect costs</t>
  </si>
  <si>
    <t>Factory and construction supervision</t>
  </si>
  <si>
    <t>Capitalized training costs</t>
  </si>
  <si>
    <t>staff recruitment and training</t>
  </si>
  <si>
    <t>Unit Cost</t>
  </si>
  <si>
    <t>indirect to direct field-related cost</t>
  </si>
  <si>
    <t>Parameter</t>
  </si>
  <si>
    <t>$/FTE</t>
  </si>
  <si>
    <t>Number of Operators</t>
  </si>
  <si>
    <t>de Candido, I., A. Al Rashdan, A. Abou-Jaoude, and J. Buongiorno. 2024. “Assessment of Technoeconomic Opportunities in Automation for Nuclear Microreactors.” Nuclear Science and Engineering, 1–20. https://doi.org/10.1080/00295639.2024.2372511.</t>
  </si>
  <si>
    <t>Work Hours Per Shift</t>
  </si>
  <si>
    <t>Reactors Monitored Per Operator</t>
  </si>
  <si>
    <t>Operation Mode</t>
  </si>
  <si>
    <t>Autonomous</t>
  </si>
  <si>
    <t>Security Staff Per Shift</t>
  </si>
  <si>
    <t>FTEs Per Onsite Operator (24/7)</t>
  </si>
  <si>
    <t>FTEs Per Offsite Operator (24/7)</t>
  </si>
  <si>
    <t>FTEs Per Security Staff (24/7)</t>
  </si>
  <si>
    <t>Hours Per FTE</t>
  </si>
  <si>
    <t>Maintenance to Direct Cost Ratio</t>
  </si>
  <si>
    <t>$/MWeHour</t>
  </si>
  <si>
    <t>Annual Electricity Production</t>
  </si>
  <si>
    <t>PWR12-ME</t>
  </si>
  <si>
    <t>Ganda et al., 2018</t>
  </si>
  <si>
    <t>$/Drum</t>
  </si>
  <si>
    <t>First-Principles Cost Estimation of a Sodium Fast  Reactor Nuclear Plant. INL/RPT-23-74316
Table 38, 39</t>
  </si>
  <si>
    <t>Bottom-up Estimation of components with nuclear escalation + contingency</t>
  </si>
  <si>
    <t>Control System Drive Mechanism</t>
  </si>
  <si>
    <t>Naranjo de Candido and Shirvan, 2022</t>
  </si>
  <si>
    <t>Naranjo De Candido and Shirvan. (2022). Graphite Life-Cycle Cost Model for HTGRs, International High-Level Radioactive Waste Management Conference</t>
  </si>
  <si>
    <t>Al2O3</t>
  </si>
  <si>
    <t>ANL/NSE-20/28</t>
  </si>
  <si>
    <t>NTRD-FCO-2018-000439</t>
  </si>
  <si>
    <t>Hoffman et al. (2020). Improvement of ACCERT Algorithm - FY20 (No. ANL/NSE-20/28). Argonne National Laboratory.(ANL), Argonne, IL (United States).</t>
  </si>
  <si>
    <t>SS316</t>
  </si>
  <si>
    <t>HX Material</t>
  </si>
  <si>
    <t>800H</t>
  </si>
  <si>
    <t>unitless</t>
  </si>
  <si>
    <t>kg/s</t>
  </si>
  <si>
    <t>DOE-ET-34222-T1</t>
  </si>
  <si>
    <t>1170 MWt HTGR Steamer Cogeneration Plant Design and Cost Study, United Engineers &amp; Constructors Inc. Philadelphia, Pennsylvania. 1980]</t>
  </si>
  <si>
    <t>https://www.osti.gov/servlets/purl/5084245</t>
  </si>
  <si>
    <t>Cost scalated based on Park et al., 2024 - Bottom-up ….</t>
  </si>
  <si>
    <t>Shirvan et al., 2023</t>
  </si>
  <si>
    <t>https://doi.org/10.1016/j.nucengdes.2023.112470</t>
  </si>
  <si>
    <t>$/kWe</t>
  </si>
  <si>
    <t>INL/RPT-24-80433 Rev.1</t>
  </si>
  <si>
    <t>https://www.osti.gov/biblio/2447366</t>
  </si>
  <si>
    <t>Common Instrumentation &amp; Controls</t>
  </si>
  <si>
    <t xml:space="preserve">Shirvan et al,. (2023). UO2-fueled microreactors: Near-term solutions to emerging marktets. Nuclear Engineering and Design. </t>
  </si>
  <si>
    <t>EEDB PWR12-ME + Stewart and Shirvan (2022)
Scales PWR12-ME costs with simplifications based on Stewart and Srhivan (2022)</t>
  </si>
  <si>
    <t>Switchgear</t>
  </si>
  <si>
    <t>Station Service Equipment</t>
  </si>
  <si>
    <t>Switchboards</t>
  </si>
  <si>
    <t>Protective Equipment</t>
  </si>
  <si>
    <t>Electrical Structure &amp; Wiring Container</t>
  </si>
  <si>
    <t>Power &amp; Control Wiring</t>
  </si>
  <si>
    <t>Variable Non-Fuel Costs</t>
  </si>
  <si>
    <t>B4C_enriched</t>
  </si>
  <si>
    <t>Prosser et al., 2023</t>
  </si>
  <si>
    <t>Cost based on FOAK Digital I&amp;C with 2-out-of-4 voting logic</t>
  </si>
  <si>
    <t>Primary Loop Mass Flow Rate</t>
  </si>
  <si>
    <t>stainless_steel</t>
  </si>
  <si>
    <t>low_alloy_steel</t>
  </si>
  <si>
    <t>incoloy</t>
  </si>
  <si>
    <t>Moderator Booster Mass</t>
  </si>
  <si>
    <t>BoP Power kWe</t>
  </si>
  <si>
    <t>Moderator (Booster)</t>
  </si>
  <si>
    <r>
      <t>Abou-Jaoude, A., Lohse, C. S., Larsen, L. M., Guaita, N., Trivedi, I., Joseck, F. C., ... &amp; Stein, A. (2024). </t>
    </r>
    <r>
      <rPr>
        <i/>
        <sz val="10"/>
        <color rgb="FF222222"/>
        <rFont val="Times New Roman"/>
        <family val="1"/>
      </rPr>
      <t>Meta-analysis of advanced nuclear reactor cost estimations</t>
    </r>
    <r>
      <rPr>
        <sz val="10"/>
        <color rgb="FF222222"/>
        <rFont val="Times New Roman"/>
        <family val="1"/>
      </rPr>
      <t> (No. INL/RPT-24-77048-Rev001). Idaho National Laboratory (INL), Idaho Falls, ID (United States).</t>
    </r>
  </si>
  <si>
    <r>
      <t>Hanna, B. N., Gonzaga de Oliveira, R. G., Mohammad Al Dawood, K. A., Patterson, M. D., Abou Jaoude, A., &amp; Garcia, S. (2024). </t>
    </r>
    <r>
      <rPr>
        <i/>
        <sz val="10"/>
        <color rgb="FF222222"/>
        <rFont val="Times New Roman"/>
        <family val="1"/>
      </rPr>
      <t>Technoeconomic Evaluation of Microreactor Using Detailed Bottom-up Estimate</t>
    </r>
    <r>
      <rPr>
        <sz val="10"/>
        <color rgb="FF222222"/>
        <rFont val="Times New Roman"/>
        <family val="1"/>
      </rPr>
      <t> (No. INL/RPT-24-80433-Rev000). Idaho National Laboratory (INL), Idaho Falls, ID (United States).</t>
    </r>
  </si>
  <si>
    <r>
      <t>Gerstner, D., &amp; Arafat, Y. (2023). MARVEL 90% Final Design Report (No. INL/RPT-23-74280-Rev000). Idaho National Laboratory (INL), Idaho Falls, ID (United States).
Hanna, B. N., Gonzaga de Oliveira, R. G., Mohammad Al Dawood, K. A., Patterson, M. D., Abou Jaoude, A., &amp; Garcia, S. (2024). </t>
    </r>
    <r>
      <rPr>
        <i/>
        <sz val="10"/>
        <color rgb="FF222222"/>
        <rFont val="Times New Roman"/>
        <family val="1"/>
      </rPr>
      <t>Technoeconomic Evaluation of Microreactor Using Detailed Bottom-up Estimate</t>
    </r>
    <r>
      <rPr>
        <sz val="10"/>
        <color rgb="FF222222"/>
        <rFont val="Times New Roman"/>
        <family val="1"/>
      </rPr>
      <t> (No. INL/RPT-24-80433-Rev000). Idaho National Laboratory (INL), Idaho Falls, ID (United States).</t>
    </r>
  </si>
  <si>
    <r>
      <t>Roosen, P., Uhlenbruck, S., &amp; Lucas, K. (2003). Pareto optimization of a combined cycle power system as a decision support tool for trading off investment vs. operating costs. </t>
    </r>
    <r>
      <rPr>
        <i/>
        <sz val="10"/>
        <color rgb="FF222222"/>
        <rFont val="Times New Roman"/>
        <family val="1"/>
      </rPr>
      <t>International Journal of Thermal Sciences</t>
    </r>
    <r>
      <rPr>
        <sz val="10"/>
        <color rgb="FF222222"/>
        <rFont val="Times New Roman"/>
        <family val="1"/>
      </rPr>
      <t>, </t>
    </r>
    <r>
      <rPr>
        <i/>
        <sz val="10"/>
        <color rgb="FF222222"/>
        <rFont val="Times New Roman"/>
        <family val="1"/>
      </rPr>
      <t>42</t>
    </r>
    <r>
      <rPr>
        <sz val="10"/>
        <color rgb="FF222222"/>
        <rFont val="Times New Roman"/>
        <family val="1"/>
      </rPr>
      <t>(6), 553-560.
Ganda, F., Hoffman, E., Taiwo, T. A., Kim, T. K., &amp; Hansen, J. (2019). Report on the ACCERT cost algorithms tool (No. ANL/NSE-19/10). Argonne National Lab.(ANL), Argonne, IL (United States).</t>
    </r>
  </si>
  <si>
    <t>Be</t>
  </si>
  <si>
    <t>Factory Drums</t>
  </si>
  <si>
    <t>Lognormal</t>
  </si>
  <si>
    <t>Truncated Normal</t>
  </si>
  <si>
    <t>Moderator Booster</t>
  </si>
  <si>
    <t xml:space="preserve">Al-Dawood, Khaldoon and Hanna, Botros and Balla, Sai and de Oliveira, Rodrigo and Garcia, Samuel and McCarthy, Dan and Bolisetti, Chandrakanth and Lindley, Ben and Abou-Jaoude, Abdalla, Open-Source Microreactor Design Models for Technoeconomic Assessment. </t>
  </si>
  <si>
    <t>https://papers.ssrn.com/sol3/papers.cfm?abstract_id=5163464</t>
  </si>
  <si>
    <t>FOAK to NOAK Multiplier Type</t>
  </si>
  <si>
    <t>Fixed Cost Low End</t>
  </si>
  <si>
    <t>Fixed Cost High End</t>
  </si>
  <si>
    <t>Fixed Cost Distribution</t>
  </si>
  <si>
    <t>Unit Cost Low End</t>
  </si>
  <si>
    <t>Unit Cost High End</t>
  </si>
  <si>
    <t>Unit Cost Distribution</t>
  </si>
  <si>
    <t>Exponent std</t>
  </si>
  <si>
    <t>Exponent Max</t>
  </si>
  <si>
    <t>Exponent Min</t>
  </si>
  <si>
    <t>Exponent Distribution</t>
  </si>
  <si>
    <t>Factory Other</t>
  </si>
  <si>
    <t>No Learning</t>
  </si>
  <si>
    <t>Licensing Learning</t>
  </si>
  <si>
    <t/>
  </si>
  <si>
    <t>Onsite Learning</t>
  </si>
  <si>
    <t>Factory Primary Structure</t>
  </si>
  <si>
    <t>Uniform</t>
  </si>
  <si>
    <t>Turbine Building Exterior Walls Volume</t>
  </si>
  <si>
    <t>0.1</t>
  </si>
  <si>
    <t>1</t>
  </si>
  <si>
    <t>0</t>
  </si>
  <si>
    <t>Drum Count</t>
  </si>
  <si>
    <t>In Vessel Shield Material</t>
  </si>
  <si>
    <t>Out Of Vessel Shield Material</t>
  </si>
  <si>
    <t>In Vessel Shield Mass</t>
  </si>
  <si>
    <t>Out Of Vessel Shield Mass</t>
  </si>
  <si>
    <t>Auxilliary Building</t>
  </si>
  <si>
    <t>Maniplator Building</t>
  </si>
  <si>
    <t>Manipulator Building Slab Roof</t>
  </si>
  <si>
    <t>ManipulatorBuilding Basement</t>
  </si>
  <si>
    <t>Manipulator Building Exterior Walls</t>
  </si>
  <si>
    <t>Manipulator Building Slab Roof Volume</t>
  </si>
  <si>
    <t>Manipulator Building Basement Volume</t>
  </si>
  <si>
    <t>Manipulator Building Exterior Walls Volume</t>
  </si>
  <si>
    <t>Initial Coolant Inventory</t>
  </si>
  <si>
    <t>Coolant</t>
  </si>
  <si>
    <t>Helium</t>
  </si>
  <si>
    <t>https://doi.org/10.3929/ethz-b-000709311</t>
  </si>
  <si>
    <t>Fernandez de Losada. (2024). Assessment of the Lifecycle Cost of Nuclear-Grade Coolants for Advanced Reactors. ETHzurich. Swiss.</t>
  </si>
  <si>
    <t>Vendor Quoate (Linde) for 3000 cylinders of 99.999% purity Helium. 3000 cylinders correspond to ~4 MT of He.</t>
  </si>
  <si>
    <t>Onsite Coolant Inventory</t>
  </si>
  <si>
    <t>Guard Vessel Material</t>
  </si>
  <si>
    <t>Vessel Material</t>
  </si>
  <si>
    <t>Implemented on non_direct_cost.py
The cost is scaled as a fraction of CAPEX (15%)</t>
  </si>
  <si>
    <t>Venneri, (2023) and INL/EXT-21-63067</t>
  </si>
  <si>
    <t>Implemented on non_direct_cost.py
Cost is scaled as a fraction of CAPEX unless specific parameters are added to indicate more/less frequent replacements (e.g. GCMR)</t>
  </si>
  <si>
    <t>Implemented on the python side. 
Chosen over default due to uncertainty in compressor Pressure Ratio changes based on reactor TH</t>
  </si>
  <si>
    <t>Added a custom building for GCMR based on CAD drawing</t>
  </si>
  <si>
    <t>Integrated Heat Transfer System Support</t>
  </si>
  <si>
    <t>Integrated Heat Transfer Vessel</t>
  </si>
  <si>
    <t>Custom Accounts to model the vessel that houses the PCHE, Circulator, and Pipe Connections. These are assumed to be SA508 for now but use the same unit-cost as SS PCHE</t>
  </si>
  <si>
    <t>Integrated Heat Transfer Vessel Mass</t>
  </si>
  <si>
    <t>Annualized Moderator Replacements</t>
  </si>
  <si>
    <t>Annualized Reflector Replacements</t>
  </si>
  <si>
    <t>Annualized Reactivity Control Replacements</t>
  </si>
  <si>
    <t>Annualized Integrated Heat Transfer System Replacements</t>
  </si>
  <si>
    <t>Annualized Misc. Replacements</t>
  </si>
  <si>
    <t>Reactor Building Liner</t>
  </si>
  <si>
    <t>Stewart W.R., Shirvan K., "Capital cost estimation for advanced nuclear power plants," Renewable and Sustainable Energy Reviews, Nov. 2021, 111880</t>
  </si>
  <si>
    <t>https://doi.org/10.1016/j.rser.2021.111880</t>
  </si>
  <si>
    <t>m^2</t>
  </si>
  <si>
    <t>$/m^2</t>
  </si>
  <si>
    <t>Reactor Building Superstructure Area</t>
  </si>
  <si>
    <t>Reactor Building HVAC</t>
  </si>
  <si>
    <t>Integrated Heat Exchanger Building</t>
  </si>
  <si>
    <t>Integrated Heat Exchanger Building Slab Roof</t>
  </si>
  <si>
    <t>Integrated Heat Exchanger Building Basement</t>
  </si>
  <si>
    <t>Integrated Heat Exchanger Building Walls</t>
  </si>
  <si>
    <t>Integrated Heat Exchanger Building Liner</t>
  </si>
  <si>
    <t>Integrated Heat Exchanger Building Slab Roof Volume</t>
  </si>
  <si>
    <t>Integrated Heat Exchanger Building Basement Volume</t>
  </si>
  <si>
    <t>Integrated Heat Exchanger Building Exterior Walls Volume</t>
  </si>
  <si>
    <t>Integrated Heat Exchanger Building Superstructure Area</t>
  </si>
  <si>
    <t>NaK</t>
  </si>
  <si>
    <t>MARVEL Project (communication with MARVEL Team)</t>
  </si>
  <si>
    <t>Vendor Quotes</t>
  </si>
  <si>
    <t>Note</t>
  </si>
  <si>
    <t>Reference</t>
  </si>
  <si>
    <t>FOAK to NOAK Learning Rates</t>
  </si>
  <si>
    <t>Assessment of Factory Fabrication Considerations
for Nuclear Microreactors
 10.1080/00295450.2023.2206779</t>
  </si>
  <si>
    <t>Calculated based on Refernce Paper + Gyutae's work. Refer to TEM Slides for rationale and methodology</t>
  </si>
  <si>
    <t>Factory Be</t>
  </si>
  <si>
    <t>Factory BeO</t>
  </si>
  <si>
    <t>Non-nuclear off-the-shelf</t>
  </si>
  <si>
    <t>Park, et al., Bottom-up levelized cost estimation of low-enriched and low-pressure nuclear batteries. Nuclear Engineering and Design. 2025.</t>
  </si>
  <si>
    <t>For off-the-shelf commercial components that are not produced in the FB Factory</t>
  </si>
  <si>
    <t>Annualized RPV Replacements</t>
  </si>
  <si>
    <t>Annualized Core Barrel Replacements</t>
  </si>
  <si>
    <t>LTMR</t>
  </si>
  <si>
    <t>Replacement Coolant Inventory</t>
  </si>
  <si>
    <t>NRC Website</t>
  </si>
  <si>
    <t xml:space="preserve">Using data from the NRC website that the cost is between 45 and 70M
https://www.nrc.gov/about-nrc/regulatory/licensing/general-fee-questions.pdf
Also, using recent change to the NRC fees by a factor of 0.47
https://ignition-news.com/the-nrc-passes-new-rules-for-advanced-reactor-companies/#:~:text=Under%20a%20rule%20published%20in,2024%2C%20which%20takes%20effect%20Oct. </t>
  </si>
  <si>
    <t>Regulatory Costs</t>
  </si>
  <si>
    <t xml:space="preserve">NRC annual fees for operating reactors in FY25 is $5,359,000
One assumption could be to consider a single fee for the fleet of microreactors. 
Proposed cost = $5,359,000 per year / (100 reactors per fleet)
Another assumption (anecdotal evidence) is that licensing fee cost is 1-to-1 with the utility cost to support. 
 </t>
  </si>
  <si>
    <t>https://www.federalregister.gov/documents/2025/02/19/2025-02779/fee-schedules-fee-recovery-for-fiscal-year-2025</t>
  </si>
  <si>
    <t xml:space="preserve">RSMeans software: a tool that primarily provides costs for non-nuclear work
</t>
  </si>
  <si>
    <t>Sec Optional Variable</t>
  </si>
  <si>
    <t xml:space="preserve"> UO2</t>
  </si>
  <si>
    <t>INL Cost Basis Report &amp; Meta analysis for the nuclear reactor costs
UO2-fueled microreactors: Near-term solutions to emerging markets</t>
  </si>
  <si>
    <t>Abou-Jaoude, Abdalla, et al. Meta-Analysis of Advanced Nuclear Reactor Cost Estimations. No.
INL/RPT-24-77048-Rev001. Idaho National Laboratory (INL), Idaho Falls, ID (United
States), 2024. 
Abou-Jaoude, A., Y. Arafat, A. Foss, and B. Dixon. 2021. “An Economics-by-Design Approach
Applied to a Heat Pipe Microreactor Concept.” INL/EXT-21-63067, Rev. 000, Idaho
National Laboratory, Idaho Falls, Idaho. https://doi.org/10.2172/1811894. 
Kororush Shirvan, Jacopo Buongiorno, Ruaridh MacDonald, Bradley Dunkin, Sacit Cetiner, Earl Saito, Thomas Conboy, Charles Forsberg,
UO2-fueled microreactors: Near-term solutions to emerging markets,
Nuclear Engineering and Design</t>
  </si>
  <si>
    <t>Sec Optional Value</t>
  </si>
  <si>
    <t>TRIGA_fuel</t>
  </si>
  <si>
    <t>YHx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</si>
</sst>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0.000"/>
    <numFmt numFmtId="166" formatCode="0.0"/>
    <numFmt numFmtId="167" formatCode="0.000"/>
    <numFmt numFmtId="168" formatCode="_(* #,##0.000_);_(* \(#,##0.000\);_(* &quot;-&quot;??_);_(@_)"/>
    <numFmt numFmtId="169" formatCode="_(* #,##0.0_);_(* \(#,##0.0\);_(* &quot;-&quot;?_);_(@_)"/>
  </numFmts>
  <fonts count="25">
    <font>
      <sz val="11"/>
      <color theme="1"/>
      <name val="Calibri"/>
      <family val="2"/>
      <scheme val="minor"/>
    </font>
    <font>
      <sz val="10"/>
      <color rgb="FF000000"/>
      <name val="Times New Roman"/>
      <family val="2"/>
    </font>
    <font>
      <sz val="11"/>
      <color theme="1"/>
      <name val="Calibri"/>
      <family val="2"/>
      <scheme val="minor"/>
    </font>
    <font>
      <u/>
      <sz val="11"/>
      <color theme="10"/>
      <name val="Calibri"/>
      <family val="2"/>
      <scheme val="minor"/>
    </font>
    <font>
      <b/>
      <sz val="11"/>
      <color theme="1"/>
      <name val="Calibri"/>
      <family val="2"/>
      <scheme val="minor"/>
    </font>
    <font>
      <b/>
      <sz val="10"/>
      <name val="Arial"/>
      <family val="2"/>
    </font>
    <font>
      <sz val="10"/>
      <color rgb="FF000000"/>
      <name val="Times New Roman"/>
      <family val="1"/>
    </font>
    <font>
      <b/>
      <sz val="10"/>
      <color rgb="FF000000"/>
      <name val="Times New Roman"/>
      <family val="1"/>
    </font>
    <font>
      <sz val="10"/>
      <color theme="1"/>
      <name val="Calibri"/>
      <family val="2"/>
      <scheme val="minor"/>
    </font>
    <font>
      <sz val="10"/>
      <color theme="1"/>
      <name val="Times New Roman"/>
      <family val="1"/>
    </font>
    <font>
      <u/>
      <sz val="10"/>
      <color theme="1"/>
      <name val="Times New Roman"/>
      <family val="1"/>
    </font>
    <font>
      <sz val="11"/>
      <color theme="1"/>
      <name val="Calibri"/>
      <family val="2"/>
    </font>
    <font>
      <b/>
      <sz val="10"/>
      <color theme="1"/>
      <name val="Calibri"/>
      <family val="2"/>
      <scheme val="minor"/>
    </font>
    <font>
      <b/>
      <sz val="11"/>
      <color theme="1"/>
      <name val="Calibri"/>
      <family val="2"/>
    </font>
    <font>
      <b/>
      <sz val="12"/>
      <color rgb="FF000000"/>
      <name val="Times New Roman"/>
      <family val="1"/>
    </font>
    <font>
      <vertAlign val="superscript"/>
      <sz val="10"/>
      <color rgb="FF000000"/>
      <name val="Times New Roman"/>
      <family val="1"/>
    </font>
    <font>
      <vertAlign val="subscript"/>
      <sz val="10"/>
      <color rgb="FF000000"/>
      <name val="Times New Roman"/>
      <family val="1"/>
    </font>
    <font>
      <sz val="9"/>
      <color theme="1"/>
      <name val="Calibri"/>
      <family val="2"/>
      <scheme val="minor"/>
    </font>
    <font>
      <i/>
      <sz val="10"/>
      <color rgb="FF222222"/>
      <name val="Times New Roman"/>
      <family val="1"/>
    </font>
    <font>
      <sz val="10"/>
      <color rgb="FF222222"/>
      <name val="Times New Roman"/>
      <family val="1"/>
    </font>
    <font>
      <u/>
      <sz val="10"/>
      <color theme="10"/>
      <name val="Times New Roman"/>
      <family val="1"/>
    </font>
    <font>
      <sz val="10"/>
      <color rgb="FF212529"/>
      <name val="Times New Roman"/>
      <family val="1"/>
    </font>
    <font>
      <b/>
      <sz val="10"/>
      <color theme="1"/>
      <name val="Times New Roman"/>
      <family val="1"/>
    </font>
    <font>
      <sz val="10"/>
      <color rgb="FF383A42"/>
      <name val="Menlo"/>
      <family val="2"/>
    </font>
    <font>
      <sz val="8"/>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2F2F2"/>
        <bgColor indexed="64"/>
      </patternFill>
    </fill>
  </fills>
  <borders count="16">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thin">
        <color auto="1"/>
      </left>
      <right style="thin">
        <color auto="1"/>
      </right>
      <top style="thin">
        <color auto="1"/>
      </top>
      <bottom style="thin">
        <color auto="1"/>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5">
    <xf numFmtId="0" fontId="0" fillId="0" borderId="0"/>
    <xf numFmtId="43" fontId="2" fillId="0" borderId="0" applyFont="0" applyFill="0" applyBorder="0" applyAlignment="0" applyProtection="0"/>
    <xf numFmtId="0" fontId="3" fillId="0" borderId="0" applyNumberFormat="0" applyFill="0" applyBorder="0" applyAlignment="0" applyProtection="0"/>
    <xf numFmtId="0" fontId="2" fillId="0" borderId="0"/>
    <xf numFmtId="0" fontId="6" fillId="0" borderId="0"/>
  </cellStyleXfs>
  <cellXfs count="122">
    <xf numFmtId="0" fontId="0" fillId="0" borderId="0" xfId="0"/>
    <xf numFmtId="0" fontId="4" fillId="0" borderId="0" xfId="0" applyFont="1" applyAlignment="1">
      <alignment horizontal="center"/>
    </xf>
    <xf numFmtId="0" fontId="5" fillId="0" borderId="0" xfId="0" applyFont="1"/>
    <xf numFmtId="165" fontId="0" fillId="0" borderId="0" xfId="0" applyNumberFormat="1" applyAlignment="1">
      <alignment horizontal="center"/>
    </xf>
    <xf numFmtId="165" fontId="0" fillId="0" borderId="0" xfId="0" applyNumberFormat="1"/>
    <xf numFmtId="0" fontId="8" fillId="0" borderId="0" xfId="0" applyFont="1"/>
    <xf numFmtId="0" fontId="8" fillId="0" borderId="0" xfId="0" applyFont="1" applyAlignment="1">
      <alignment horizontal="left" wrapText="1"/>
    </xf>
    <xf numFmtId="0" fontId="6" fillId="0" borderId="4" xfId="0" applyFont="1" applyBorder="1" applyAlignment="1">
      <alignment horizontal="right" vertical="center"/>
    </xf>
    <xf numFmtId="3" fontId="0" fillId="0" borderId="0" xfId="0" applyNumberFormat="1"/>
    <xf numFmtId="0" fontId="12" fillId="0" borderId="0" xfId="0" applyFont="1"/>
    <xf numFmtId="0" fontId="1" fillId="0" borderId="1" xfId="0" applyFont="1" applyBorder="1" applyAlignment="1">
      <alignment horizontal="left"/>
    </xf>
    <xf numFmtId="0" fontId="6" fillId="0" borderId="2" xfId="0" applyFont="1" applyBorder="1" applyAlignment="1">
      <alignment vertical="center" wrapText="1"/>
    </xf>
    <xf numFmtId="0" fontId="11" fillId="0" borderId="3" xfId="3" applyFont="1" applyBorder="1" applyAlignment="1">
      <alignment vertical="center" wrapText="1"/>
    </xf>
    <xf numFmtId="3" fontId="2" fillId="0" borderId="3" xfId="3" applyNumberFormat="1" applyBorder="1"/>
    <xf numFmtId="0" fontId="13" fillId="0" borderId="3" xfId="3" applyFont="1" applyBorder="1" applyAlignment="1">
      <alignment vertical="center" wrapText="1"/>
    </xf>
    <xf numFmtId="3" fontId="4" fillId="0" borderId="3" xfId="3" applyNumberFormat="1" applyFont="1" applyBorder="1"/>
    <xf numFmtId="0" fontId="11" fillId="0" borderId="3" xfId="3" applyFont="1" applyBorder="1" applyAlignment="1">
      <alignment horizontal="left" vertical="center" wrapText="1"/>
    </xf>
    <xf numFmtId="0" fontId="11" fillId="0" borderId="0" xfId="3" applyFont="1" applyAlignment="1">
      <alignment vertical="center" wrapText="1"/>
    </xf>
    <xf numFmtId="3" fontId="2" fillId="0" borderId="0" xfId="3" applyNumberFormat="1"/>
    <xf numFmtId="0" fontId="14" fillId="3" borderId="5" xfId="0" applyFont="1" applyFill="1" applyBorder="1" applyAlignment="1">
      <alignment horizontal="center" vertical="center"/>
    </xf>
    <xf numFmtId="0" fontId="14" fillId="3" borderId="6" xfId="0" applyFont="1" applyFill="1" applyBorder="1" applyAlignment="1">
      <alignment horizontal="center" vertical="center"/>
    </xf>
    <xf numFmtId="0" fontId="6" fillId="0" borderId="0" xfId="4" applyAlignment="1">
      <alignment horizontal="left" vertical="top"/>
    </xf>
    <xf numFmtId="0" fontId="6" fillId="0" borderId="9" xfId="0" applyFont="1" applyBorder="1" applyAlignment="1">
      <alignment vertical="center"/>
    </xf>
    <xf numFmtId="0" fontId="6" fillId="0" borderId="4" xfId="0" applyFont="1" applyBorder="1" applyAlignment="1">
      <alignment vertical="center"/>
    </xf>
    <xf numFmtId="0" fontId="9" fillId="0" borderId="4" xfId="0" applyFont="1" applyBorder="1"/>
    <xf numFmtId="0" fontId="6" fillId="2" borderId="9" xfId="0" applyFont="1" applyFill="1" applyBorder="1" applyAlignment="1">
      <alignment vertical="center"/>
    </xf>
    <xf numFmtId="0" fontId="6" fillId="2" borderId="4" xfId="0" applyFont="1" applyFill="1" applyBorder="1" applyAlignment="1">
      <alignment horizontal="right" vertical="center"/>
    </xf>
    <xf numFmtId="0" fontId="6" fillId="2" borderId="4" xfId="0" applyFont="1" applyFill="1" applyBorder="1" applyAlignment="1">
      <alignment vertical="center"/>
    </xf>
    <xf numFmtId="0" fontId="6" fillId="2" borderId="4" xfId="0" applyFont="1" applyFill="1" applyBorder="1" applyAlignment="1">
      <alignment vertical="center" wrapText="1"/>
    </xf>
    <xf numFmtId="0" fontId="6" fillId="2" borderId="0" xfId="4" applyFill="1" applyAlignment="1">
      <alignment horizontal="left" vertical="top"/>
    </xf>
    <xf numFmtId="2" fontId="13" fillId="0" borderId="3" xfId="3" applyNumberFormat="1" applyFont="1" applyBorder="1" applyAlignment="1">
      <alignment horizontal="left" vertical="center"/>
    </xf>
    <xf numFmtId="2" fontId="11" fillId="0" borderId="3" xfId="3" applyNumberFormat="1" applyFont="1" applyBorder="1" applyAlignment="1">
      <alignment horizontal="left" vertical="center"/>
    </xf>
    <xf numFmtId="2" fontId="11" fillId="0" borderId="0" xfId="3" applyNumberFormat="1" applyFont="1" applyAlignment="1">
      <alignment horizontal="left" vertical="center"/>
    </xf>
    <xf numFmtId="167" fontId="11" fillId="0" borderId="3" xfId="3" applyNumberFormat="1" applyFont="1" applyBorder="1" applyAlignment="1">
      <alignment horizontal="left" vertical="center"/>
    </xf>
    <xf numFmtId="43" fontId="0" fillId="0" borderId="0" xfId="1" applyFont="1"/>
    <xf numFmtId="0" fontId="17" fillId="0" borderId="0" xfId="0" applyFont="1"/>
    <xf numFmtId="0" fontId="4" fillId="0" borderId="0" xfId="0" applyFont="1"/>
    <xf numFmtId="0" fontId="8" fillId="0" borderId="0" xfId="0" applyFont="1" applyAlignment="1">
      <alignment horizontal="right"/>
    </xf>
    <xf numFmtId="0" fontId="23" fillId="0" borderId="0" xfId="0" applyFont="1"/>
    <xf numFmtId="0" fontId="7" fillId="0" borderId="12" xfId="0" applyFont="1" applyBorder="1" applyAlignment="1">
      <alignment horizontal="left"/>
    </xf>
    <xf numFmtId="3" fontId="7" fillId="0" borderId="12" xfId="0" applyNumberFormat="1" applyFont="1" applyBorder="1" applyAlignment="1">
      <alignment horizontal="left"/>
    </xf>
    <xf numFmtId="3" fontId="6" fillId="0" borderId="12" xfId="0" applyNumberFormat="1" applyFont="1" applyBorder="1" applyAlignment="1">
      <alignment horizontal="left" wrapText="1"/>
    </xf>
    <xf numFmtId="3" fontId="7" fillId="0" borderId="12" xfId="0" applyNumberFormat="1" applyFont="1" applyBorder="1" applyAlignment="1">
      <alignment horizontal="right"/>
    </xf>
    <xf numFmtId="3" fontId="7" fillId="0" borderId="12" xfId="0" applyNumberFormat="1" applyFont="1" applyBorder="1" applyAlignment="1">
      <alignment horizontal="left" wrapText="1"/>
    </xf>
    <xf numFmtId="0" fontId="6" fillId="0" borderId="12" xfId="0" applyFont="1" applyBorder="1" applyAlignment="1">
      <alignment horizontal="left" wrapText="1"/>
    </xf>
    <xf numFmtId="164" fontId="9" fillId="0" borderId="12" xfId="1" applyNumberFormat="1" applyFont="1" applyFill="1" applyBorder="1" applyAlignment="1">
      <alignment horizontal="right"/>
    </xf>
    <xf numFmtId="3" fontId="9" fillId="0" borderId="12" xfId="1" applyNumberFormat="1" applyFont="1" applyFill="1" applyBorder="1" applyAlignment="1">
      <alignment horizontal="right"/>
    </xf>
    <xf numFmtId="0" fontId="9" fillId="0" borderId="12" xfId="0" applyFont="1" applyBorder="1" applyAlignment="1">
      <alignment horizontal="left"/>
    </xf>
    <xf numFmtId="164" fontId="9" fillId="0" borderId="12" xfId="1" applyNumberFormat="1" applyFont="1" applyFill="1" applyBorder="1" applyAlignment="1"/>
    <xf numFmtId="0" fontId="9" fillId="0" borderId="12" xfId="0" applyFont="1" applyBorder="1" applyAlignment="1">
      <alignment horizontal="left" wrapText="1"/>
    </xf>
    <xf numFmtId="0" fontId="20" fillId="0" borderId="12" xfId="2" applyFont="1" applyFill="1" applyBorder="1" applyAlignment="1">
      <alignment horizontal="left"/>
    </xf>
    <xf numFmtId="0" fontId="9" fillId="0" borderId="12" xfId="0" applyFont="1" applyBorder="1"/>
    <xf numFmtId="0" fontId="7" fillId="0" borderId="12" xfId="0" applyFont="1" applyBorder="1" applyAlignment="1">
      <alignment horizontal="left" wrapText="1"/>
    </xf>
    <xf numFmtId="3" fontId="7" fillId="0" borderId="12" xfId="0" applyNumberFormat="1" applyFont="1" applyBorder="1" applyAlignment="1">
      <alignment horizontal="right" wrapText="1"/>
    </xf>
    <xf numFmtId="164" fontId="9" fillId="0" borderId="12" xfId="1" applyNumberFormat="1" applyFont="1" applyFill="1" applyBorder="1" applyAlignment="1">
      <alignment wrapText="1"/>
    </xf>
    <xf numFmtId="0" fontId="6" fillId="0" borderId="12" xfId="0" applyFont="1" applyBorder="1" applyAlignment="1">
      <alignment horizontal="left"/>
    </xf>
    <xf numFmtId="166" fontId="6" fillId="0" borderId="12" xfId="0" applyNumberFormat="1" applyFont="1" applyBorder="1" applyAlignment="1">
      <alignment horizontal="left"/>
    </xf>
    <xf numFmtId="0" fontId="9" fillId="0" borderId="12" xfId="0" quotePrefix="1" applyFont="1" applyBorder="1" applyAlignment="1">
      <alignment horizontal="left"/>
    </xf>
    <xf numFmtId="0" fontId="6" fillId="0" borderId="12" xfId="0" applyFont="1" applyBorder="1" applyAlignment="1">
      <alignment wrapText="1"/>
    </xf>
    <xf numFmtId="3" fontId="6" fillId="0" borderId="12" xfId="0" applyNumberFormat="1" applyFont="1" applyBorder="1" applyAlignment="1">
      <alignment horizontal="right"/>
    </xf>
    <xf numFmtId="0" fontId="20" fillId="0" borderId="12" xfId="2" applyFont="1" applyFill="1" applyBorder="1" applyAlignment="1">
      <alignment wrapText="1"/>
    </xf>
    <xf numFmtId="0" fontId="9" fillId="0" borderId="12" xfId="0" applyFont="1" applyBorder="1" applyAlignment="1">
      <alignment wrapText="1"/>
    </xf>
    <xf numFmtId="3" fontId="21" fillId="0" borderId="12" xfId="0" applyNumberFormat="1" applyFont="1" applyBorder="1" applyAlignment="1">
      <alignment horizontal="right"/>
    </xf>
    <xf numFmtId="3" fontId="9" fillId="0" borderId="12" xfId="0" applyNumberFormat="1" applyFont="1" applyBorder="1" applyAlignment="1">
      <alignment horizontal="right"/>
    </xf>
    <xf numFmtId="0" fontId="6" fillId="0" borderId="12" xfId="0" applyFont="1" applyBorder="1" applyAlignment="1">
      <alignment horizontal="right"/>
    </xf>
    <xf numFmtId="0" fontId="9" fillId="0" borderId="12" xfId="0" applyFont="1" applyBorder="1" applyAlignment="1">
      <alignment horizontal="center" wrapText="1"/>
    </xf>
    <xf numFmtId="3" fontId="6" fillId="0" borderId="12" xfId="0" applyNumberFormat="1" applyFont="1" applyBorder="1" applyAlignment="1">
      <alignment horizontal="right" wrapText="1"/>
    </xf>
    <xf numFmtId="0" fontId="6" fillId="0" borderId="12" xfId="0" applyFont="1" applyBorder="1" applyAlignment="1">
      <alignment horizontal="center" wrapText="1"/>
    </xf>
    <xf numFmtId="0" fontId="9" fillId="0" borderId="12" xfId="0" applyFont="1" applyBorder="1" applyAlignment="1">
      <alignment horizontal="right"/>
    </xf>
    <xf numFmtId="0" fontId="9" fillId="0" borderId="12" xfId="0" applyFont="1" applyBorder="1" applyAlignment="1">
      <alignment horizontal="center"/>
    </xf>
    <xf numFmtId="164" fontId="9" fillId="0" borderId="12" xfId="1" applyNumberFormat="1" applyFont="1" applyBorder="1" applyAlignment="1">
      <alignment horizontal="right"/>
    </xf>
    <xf numFmtId="0" fontId="7" fillId="0" borderId="12" xfId="0" applyFont="1" applyBorder="1" applyAlignment="1">
      <alignment horizontal="right" wrapText="1"/>
    </xf>
    <xf numFmtId="168" fontId="9" fillId="0" borderId="12" xfId="1" applyNumberFormat="1" applyFont="1" applyBorder="1" applyAlignment="1">
      <alignment horizontal="right"/>
    </xf>
    <xf numFmtId="164" fontId="9" fillId="0" borderId="12" xfId="1" quotePrefix="1" applyNumberFormat="1" applyFont="1" applyFill="1" applyBorder="1" applyAlignment="1"/>
    <xf numFmtId="0" fontId="6" fillId="0" borderId="12" xfId="0" applyFont="1" applyBorder="1"/>
    <xf numFmtId="165" fontId="9" fillId="0" borderId="12" xfId="0" applyNumberFormat="1" applyFont="1" applyBorder="1" applyAlignment="1">
      <alignment horizontal="right"/>
    </xf>
    <xf numFmtId="0" fontId="9" fillId="0" borderId="12" xfId="0" quotePrefix="1" applyFont="1" applyBorder="1"/>
    <xf numFmtId="0" fontId="6" fillId="0" borderId="12" xfId="0" applyFont="1" applyBorder="1" applyAlignment="1">
      <alignment vertical="center" wrapText="1"/>
    </xf>
    <xf numFmtId="0" fontId="20" fillId="0" borderId="12" xfId="2" applyFont="1" applyBorder="1" applyAlignment="1"/>
    <xf numFmtId="0" fontId="9" fillId="0" borderId="12" xfId="3" applyFont="1" applyBorder="1" applyAlignment="1">
      <alignment wrapText="1"/>
    </xf>
    <xf numFmtId="0" fontId="22" fillId="0" borderId="12" xfId="0" applyFont="1" applyBorder="1"/>
    <xf numFmtId="164" fontId="9" fillId="0" borderId="12" xfId="1" applyNumberFormat="1" applyFont="1" applyFill="1" applyBorder="1"/>
    <xf numFmtId="0" fontId="9" fillId="0" borderId="12" xfId="0" applyFont="1" applyBorder="1" applyAlignment="1">
      <alignment horizontal="center" vertical="center" wrapText="1"/>
    </xf>
    <xf numFmtId="0" fontId="22" fillId="0" borderId="12" xfId="0" applyFont="1" applyBorder="1" applyAlignment="1">
      <alignment horizontal="right"/>
    </xf>
    <xf numFmtId="169" fontId="22" fillId="0" borderId="12" xfId="0" applyNumberFormat="1" applyFont="1" applyBorder="1" applyAlignment="1">
      <alignment horizontal="right"/>
    </xf>
    <xf numFmtId="0" fontId="22" fillId="0" borderId="12" xfId="0" applyFont="1" applyBorder="1" applyAlignment="1">
      <alignment horizontal="left" wrapText="1"/>
    </xf>
    <xf numFmtId="0" fontId="12" fillId="0" borderId="0" xfId="0" applyFont="1" applyAlignment="1">
      <alignment horizontal="left" wrapText="1"/>
    </xf>
    <xf numFmtId="0" fontId="3" fillId="0" borderId="12" xfId="2" applyBorder="1"/>
    <xf numFmtId="0" fontId="3" fillId="0" borderId="12" xfId="2" applyFill="1" applyBorder="1" applyAlignment="1">
      <alignment horizontal="left"/>
    </xf>
    <xf numFmtId="167" fontId="0" fillId="0" borderId="0" xfId="0" applyNumberFormat="1"/>
    <xf numFmtId="0" fontId="0" fillId="0" borderId="0" xfId="0" applyAlignment="1">
      <alignment wrapText="1"/>
    </xf>
    <xf numFmtId="3" fontId="6" fillId="0" borderId="0" xfId="0" applyNumberFormat="1" applyFont="1" applyAlignment="1">
      <alignment horizontal="left" wrapText="1"/>
    </xf>
    <xf numFmtId="0" fontId="6" fillId="0" borderId="14" xfId="0" applyFont="1" applyBorder="1" applyAlignment="1">
      <alignment horizontal="left"/>
    </xf>
    <xf numFmtId="3" fontId="7" fillId="0" borderId="14" xfId="0" applyNumberFormat="1" applyFont="1" applyBorder="1" applyAlignment="1">
      <alignment horizontal="left"/>
    </xf>
    <xf numFmtId="0" fontId="9" fillId="0" borderId="13" xfId="0" applyFont="1" applyBorder="1" applyAlignment="1">
      <alignment horizontal="center"/>
    </xf>
    <xf numFmtId="0" fontId="9" fillId="0" borderId="14" xfId="0" applyFont="1" applyBorder="1" applyAlignment="1">
      <alignment horizontal="center"/>
    </xf>
    <xf numFmtId="0" fontId="9" fillId="0" borderId="15" xfId="0" applyFont="1" applyBorder="1" applyAlignment="1">
      <alignment horizontal="center"/>
    </xf>
    <xf numFmtId="0" fontId="9" fillId="0" borderId="12" xfId="0" applyFont="1" applyBorder="1" applyAlignment="1">
      <alignment horizontal="center" wrapText="1"/>
    </xf>
    <xf numFmtId="0" fontId="9" fillId="0" borderId="12" xfId="0" applyFont="1" applyBorder="1" applyAlignment="1">
      <alignment horizontal="left" wrapText="1"/>
    </xf>
    <xf numFmtId="0" fontId="20" fillId="0" borderId="12" xfId="2" applyFont="1" applyFill="1" applyBorder="1" applyAlignment="1">
      <alignment horizontal="left" wrapText="1"/>
    </xf>
    <xf numFmtId="0" fontId="20" fillId="0" borderId="12" xfId="2" applyFont="1" applyFill="1" applyBorder="1" applyAlignment="1">
      <alignment horizontal="left"/>
    </xf>
    <xf numFmtId="0" fontId="6" fillId="0" borderId="12" xfId="0" applyFont="1" applyBorder="1" applyAlignment="1">
      <alignment horizontal="center" wrapText="1"/>
    </xf>
    <xf numFmtId="0" fontId="20" fillId="0" borderId="13" xfId="2" applyFont="1" applyFill="1" applyBorder="1" applyAlignment="1">
      <alignment horizontal="left" wrapText="1"/>
    </xf>
    <xf numFmtId="0" fontId="20" fillId="0" borderId="14" xfId="2" applyFont="1" applyFill="1" applyBorder="1" applyAlignment="1">
      <alignment horizontal="left" wrapText="1"/>
    </xf>
    <xf numFmtId="0" fontId="20" fillId="0" borderId="15" xfId="2" applyFont="1" applyFill="1" applyBorder="1" applyAlignment="1">
      <alignment horizontal="left" wrapText="1"/>
    </xf>
    <xf numFmtId="0" fontId="20" fillId="0" borderId="12" xfId="2" applyFont="1" applyBorder="1" applyAlignment="1">
      <alignment horizontal="center" wrapText="1"/>
    </xf>
    <xf numFmtId="0" fontId="9" fillId="0" borderId="12" xfId="0" applyFont="1" applyBorder="1" applyAlignment="1">
      <alignment horizontal="center"/>
    </xf>
    <xf numFmtId="0" fontId="9" fillId="0" borderId="12" xfId="0" applyFont="1" applyBorder="1" applyAlignment="1">
      <alignment wrapText="1"/>
    </xf>
    <xf numFmtId="0" fontId="9" fillId="0" borderId="13" xfId="0" applyFont="1" applyBorder="1" applyAlignment="1">
      <alignment horizontal="left" wrapText="1"/>
    </xf>
    <xf numFmtId="0" fontId="9" fillId="0" borderId="14" xfId="0" applyFont="1" applyBorder="1" applyAlignment="1">
      <alignment horizontal="left" wrapText="1"/>
    </xf>
    <xf numFmtId="0" fontId="9" fillId="0" borderId="15" xfId="0" applyFont="1" applyBorder="1" applyAlignment="1">
      <alignment horizontal="left" wrapText="1"/>
    </xf>
    <xf numFmtId="0" fontId="9" fillId="0" borderId="13" xfId="0" applyFont="1" applyBorder="1" applyAlignment="1">
      <alignment horizontal="center" wrapText="1"/>
    </xf>
    <xf numFmtId="0" fontId="9" fillId="0" borderId="15" xfId="0" applyFont="1" applyBorder="1" applyAlignment="1">
      <alignment horizontal="center" wrapText="1"/>
    </xf>
    <xf numFmtId="0" fontId="9" fillId="0" borderId="14" xfId="0" applyFont="1" applyBorder="1" applyAlignment="1">
      <alignment horizontal="center" wrapText="1"/>
    </xf>
    <xf numFmtId="0" fontId="13" fillId="2" borderId="3" xfId="3" applyFont="1" applyFill="1" applyBorder="1" applyAlignment="1">
      <alignment horizontal="left" vertical="center" wrapText="1"/>
    </xf>
    <xf numFmtId="0" fontId="13" fillId="2" borderId="3" xfId="3" applyFont="1" applyFill="1" applyBorder="1" applyAlignment="1">
      <alignment horizontal="center" vertical="center" wrapText="1"/>
    </xf>
    <xf numFmtId="3" fontId="13" fillId="2" borderId="10" xfId="3" applyNumberFormat="1" applyFont="1" applyFill="1" applyBorder="1" applyAlignment="1">
      <alignment horizontal="center" vertical="center" wrapText="1"/>
    </xf>
    <xf numFmtId="3" fontId="13" fillId="2" borderId="11" xfId="3" applyNumberFormat="1" applyFont="1" applyFill="1" applyBorder="1" applyAlignment="1">
      <alignment horizontal="center" vertical="center" wrapText="1"/>
    </xf>
    <xf numFmtId="0" fontId="6" fillId="3" borderId="7" xfId="0" applyFont="1" applyFill="1" applyBorder="1" applyAlignment="1">
      <alignment horizontal="center" vertical="center"/>
    </xf>
    <xf numFmtId="0" fontId="6" fillId="3" borderId="8" xfId="0" applyFont="1" applyFill="1" applyBorder="1" applyAlignment="1">
      <alignment horizontal="center" vertical="center"/>
    </xf>
    <xf numFmtId="0" fontId="6" fillId="3" borderId="6" xfId="0" applyFont="1" applyFill="1" applyBorder="1" applyAlignment="1">
      <alignment horizontal="center" vertical="center"/>
    </xf>
    <xf numFmtId="0" fontId="0" fillId="0" borderId="0" xfId="0" applyAlignment="1">
      <alignment horizontal="center" wrapText="1"/>
    </xf>
  </cellXfs>
  <cellStyles count="5">
    <cellStyle name="Comma" xfId="1" builtinId="3"/>
    <cellStyle name="Hyperlink" xfId="2" builtinId="8"/>
    <cellStyle name="Normal" xfId="0" builtinId="0"/>
    <cellStyle name="Normal 2" xfId="4" xr:uid="{E15291B7-9068-3147-AE9D-D55638463741}"/>
    <cellStyle name="Normal 2 5" xfId="3" xr:uid="{D5427F60-54E8-014E-9224-5454BAE094F2}"/>
  </cellStyles>
  <dxfs count="349">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ont>
        <b/>
        <i val="0"/>
      </font>
    </dxf>
    <dxf>
      <font>
        <b/>
        <i/>
      </font>
      <fill>
        <patternFill patternType="gray125"/>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font>
      <fill>
        <patternFill patternType="gray125"/>
      </fill>
    </dxf>
    <dxf>
      <font>
        <b/>
        <i val="0"/>
      </font>
    </dxf>
    <dxf>
      <font>
        <b/>
        <i/>
      </font>
      <fill>
        <patternFill patternType="gray125"/>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9" tint="0.39994506668294322"/>
        </patternFill>
      </fill>
    </dxf>
    <dxf>
      <fill>
        <patternFill>
          <bgColor rgb="FFFFFFBA"/>
        </patternFill>
      </fill>
    </dxf>
    <dxf>
      <fill>
        <patternFill>
          <bgColor rgb="FFFFFFBA"/>
        </patternFill>
      </fill>
    </dxf>
    <dxf>
      <fill>
        <patternFill>
          <bgColor theme="9" tint="0.3999450666829432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ont>
        <b/>
        <i val="0"/>
      </font>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9" tint="0.39994506668294322"/>
        </patternFill>
      </fill>
    </dxf>
    <dxf>
      <fill>
        <patternFill>
          <bgColor rgb="FFFFFFBA"/>
        </patternFill>
      </fill>
    </dxf>
    <dxf>
      <fill>
        <patternFill>
          <bgColor theme="6" tint="0.79998168889431442"/>
        </patternFill>
      </fill>
    </dxf>
    <dxf>
      <font>
        <b/>
        <i val="0"/>
      </font>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font>
      <fill>
        <patternFill patternType="gray0625"/>
      </fill>
    </dxf>
    <dxf>
      <font>
        <b/>
        <i val="0"/>
      </font>
    </dxf>
    <dxf>
      <font>
        <b/>
        <i/>
      </font>
      <fill>
        <patternFill patternType="gray125"/>
      </fill>
    </dxf>
    <dxf>
      <font>
        <b/>
        <i/>
      </font>
      <fill>
        <patternFill patternType="gray0625"/>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font>
      <fill>
        <patternFill patternType="gray125"/>
      </fill>
    </dxf>
    <dxf>
      <fill>
        <patternFill>
          <bgColor theme="9" tint="0.39994506668294322"/>
        </patternFill>
      </fill>
    </dxf>
    <dxf>
      <fill>
        <patternFill>
          <bgColor rgb="FFFFFFBA"/>
        </patternFill>
      </fill>
    </dxf>
    <dxf>
      <fill>
        <patternFill>
          <bgColor theme="6" tint="0.79998168889431442"/>
        </patternFill>
      </fill>
    </dxf>
    <dxf>
      <font>
        <b/>
        <i val="0"/>
      </font>
    </dxf>
    <dxf>
      <font>
        <b/>
        <i val="0"/>
      </font>
    </dxf>
    <dxf>
      <font>
        <b/>
        <i/>
      </font>
      <fill>
        <patternFill patternType="gray125"/>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6" tint="0.79998168889431442"/>
        </patternFill>
      </fill>
    </dxf>
    <dxf>
      <font>
        <b/>
        <i val="0"/>
      </font>
    </dxf>
    <dxf>
      <fill>
        <patternFill>
          <bgColor theme="9" tint="0.39994506668294322"/>
        </patternFill>
      </fill>
    </dxf>
    <dxf>
      <fill>
        <patternFill>
          <bgColor rgb="FFFFFFBA"/>
        </patternFill>
      </fill>
    </dxf>
    <dxf>
      <font>
        <b/>
        <i val="0"/>
      </font>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ont>
        <b/>
        <i/>
      </font>
      <fill>
        <patternFill patternType="gray125"/>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font>
      <fill>
        <patternFill patternType="gray125"/>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font>
      <fill>
        <patternFill patternType="gray0625"/>
      </fill>
    </dxf>
    <dxf>
      <font>
        <b/>
        <i/>
      </font>
      <fill>
        <patternFill patternType="gray125"/>
      </fill>
    </dxf>
    <dxf>
      <font>
        <b/>
        <i val="0"/>
      </font>
    </dxf>
    <dxf>
      <font>
        <b/>
        <i/>
      </font>
      <fill>
        <patternFill patternType="gray0625"/>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6" tint="0.79998168889431442"/>
        </patternFill>
      </fill>
    </dxf>
    <dxf>
      <fill>
        <patternFill>
          <bgColor theme="9" tint="0.39994506668294322"/>
        </patternFill>
      </fill>
    </dxf>
    <dxf>
      <fill>
        <patternFill>
          <bgColor rgb="FFFFFFBA"/>
        </patternFill>
      </fill>
    </dxf>
    <dxf>
      <fill>
        <patternFill>
          <bgColor theme="9" tint="0.39994506668294322"/>
        </patternFill>
      </fill>
    </dxf>
    <dxf>
      <fill>
        <patternFill>
          <bgColor rgb="FFFFFFBA"/>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font>
      <fill>
        <patternFill patternType="gray0625"/>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6" tint="0.79998168889431442"/>
        </patternFill>
      </fill>
    </dxf>
    <dxf>
      <font>
        <b/>
        <i val="0"/>
      </font>
    </dxf>
    <dxf>
      <fill>
        <patternFill>
          <bgColor rgb="FFFFFFBA"/>
        </patternFill>
      </fill>
    </dxf>
    <dxf>
      <fill>
        <patternFill>
          <bgColor theme="6" tint="0.79998168889431442"/>
        </patternFill>
      </fill>
    </dxf>
    <dxf>
      <fill>
        <patternFill>
          <bgColor theme="9" tint="0.3999450666829432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ont>
        <b/>
        <i val="0"/>
      </font>
    </dxf>
    <dxf>
      <fill>
        <patternFill>
          <bgColor theme="9" tint="0.39994506668294322"/>
        </patternFill>
      </fill>
    </dxf>
    <dxf>
      <fill>
        <patternFill>
          <bgColor rgb="FFFFFFBA"/>
        </patternFill>
      </fill>
    </dxf>
    <dxf>
      <fill>
        <patternFill>
          <bgColor theme="6" tint="0.79998168889431442"/>
        </patternFill>
      </fill>
    </dxf>
  </dxfs>
  <tableStyles count="0" defaultTableStyle="TableStyleMedium9" defaultPivotStyle="PivotStyleLight16"/>
  <colors>
    <mruColors>
      <color rgb="FFFFFFB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677904</xdr:colOff>
      <xdr:row>0</xdr:row>
      <xdr:rowOff>25400</xdr:rowOff>
    </xdr:from>
    <xdr:to>
      <xdr:col>9</xdr:col>
      <xdr:colOff>381619</xdr:colOff>
      <xdr:row>16</xdr:row>
      <xdr:rowOff>137049</xdr:rowOff>
    </xdr:to>
    <xdr:pic>
      <xdr:nvPicPr>
        <xdr:cNvPr id="2" name="Picture 1">
          <a:extLst>
            <a:ext uri="{FF2B5EF4-FFF2-40B4-BE49-F238E27FC236}">
              <a16:creationId xmlns:a16="http://schemas.microsoft.com/office/drawing/2014/main" id="{4942AF63-C5A8-474F-AF02-A1B75BF6D49F}"/>
            </a:ext>
          </a:extLst>
        </xdr:cNvPr>
        <xdr:cNvPicPr>
          <a:picLocks noChangeAspect="1"/>
        </xdr:cNvPicPr>
      </xdr:nvPicPr>
      <xdr:blipFill>
        <a:blip xmlns:r="http://schemas.openxmlformats.org/officeDocument/2006/relationships" r:embed="rId1"/>
        <a:stretch>
          <a:fillRect/>
        </a:stretch>
      </xdr:blipFill>
      <xdr:spPr>
        <a:xfrm>
          <a:off x="8399504" y="25400"/>
          <a:ext cx="3005715" cy="3019949"/>
        </a:xfrm>
        <a:prstGeom prst="rect">
          <a:avLst/>
        </a:prstGeom>
      </xdr:spPr>
    </xdr:pic>
    <xdr:clientData/>
  </xdr:twoCellAnchor>
  <xdr:twoCellAnchor editAs="oneCell">
    <xdr:from>
      <xdr:col>5</xdr:col>
      <xdr:colOff>726364</xdr:colOff>
      <xdr:row>17</xdr:row>
      <xdr:rowOff>34110</xdr:rowOff>
    </xdr:from>
    <xdr:to>
      <xdr:col>9</xdr:col>
      <xdr:colOff>248456</xdr:colOff>
      <xdr:row>33</xdr:row>
      <xdr:rowOff>108152</xdr:rowOff>
    </xdr:to>
    <xdr:pic>
      <xdr:nvPicPr>
        <xdr:cNvPr id="3" name="Picture 2">
          <a:extLst>
            <a:ext uri="{FF2B5EF4-FFF2-40B4-BE49-F238E27FC236}">
              <a16:creationId xmlns:a16="http://schemas.microsoft.com/office/drawing/2014/main" id="{8C19410D-38A7-824C-9B9A-939E7D2F2EEB}"/>
            </a:ext>
          </a:extLst>
        </xdr:cNvPr>
        <xdr:cNvPicPr>
          <a:picLocks noChangeAspect="1"/>
        </xdr:cNvPicPr>
      </xdr:nvPicPr>
      <xdr:blipFill>
        <a:blip xmlns:r="http://schemas.openxmlformats.org/officeDocument/2006/relationships" r:embed="rId2"/>
        <a:stretch>
          <a:fillRect/>
        </a:stretch>
      </xdr:blipFill>
      <xdr:spPr>
        <a:xfrm>
          <a:off x="8447964" y="3120210"/>
          <a:ext cx="2824092" cy="307124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Gyutae Park" id="{3B5B98F4-A9DA-4CFD-B3D9-F7907C025518}" userId="S::Gyutae.Park@inl.gov::92bb43dd-322c-4fd9-8626-1bdcf2860e17" providerId="AD"/>
  <person displayName="Botros N. Hanna" id="{84112BF8-C915-7B4B-BE8E-B816F75B981C}" userId="S::Botros.Hanna@inl.gov::cacdd906-c215-4699-8289-fc5a7c63b69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J5" dT="2025-06-23T14:18:30.15" personId="{84112BF8-C915-7B4B-BE8E-B816F75B981C}" id="{1AB0EC4C-86C9-4067-8E30-32E981AF6A76}">
    <text>the average of two values in the NRC website</text>
  </threadedComment>
  <threadedComment ref="N80" dT="2025-05-24T19:25:31.03" personId="{84112BF8-C915-7B4B-BE8E-B816F75B981C}" id="{1B3BEBC6-8301-0940-8823-166952F6D7FC}">
    <text xml:space="preserve">Since the cost of the BeO of the drums was not available, the cost of the BeO reflector is divided by its mass to get a unit cost for the BeO
</text>
  </threadedComment>
  <threadedComment ref="N81" dT="2025-05-24T19:25:31.03" personId="{84112BF8-C915-7B4B-BE8E-B816F75B981C}" id="{3AA6694E-75B1-4677-9400-B767D3E79449}">
    <text xml:space="preserve">Since the cost of the BeO of the drums was not available, the cost of the BeO reflector is divided by its mass to get a unit cost for the BeO
</text>
  </threadedComment>
  <threadedComment ref="A83" dT="2025-06-11T15:21:05.69" personId="{3B5B98F4-A9DA-4CFD-B3D9-F7907C025518}" id="{2BF08C61-4671-4BB0-B8A6-DD1AAB44A4E2}">
    <text>Added control rod/drum drive mechanism.  Assuming:
 1drum:1drive
 n_rod:1drive (Reactor design dependent)</text>
  </threadedComment>
  <threadedComment ref="A83" dT="2025-06-11T17:24:02.89" personId="{3B5B98F4-A9DA-4CFD-B3D9-F7907C025518}" id="{FE9E5E0E-ADCB-44C9-BC4B-DB0C5C29C47C}" parentId="{2BF08C61-4671-4BB0-B8A6-DD1AAB44A4E2}">
    <text>Ganda 2018: reports a cost of 610,000 $/drive (based on CE 1978 LMFBR cost), which is also quoted by Sai</text>
  </threadedComment>
  <threadedComment ref="A85" dT="2025-06-19T20:12:17.00" personId="{3B5B98F4-A9DA-4CFD-B3D9-F7907C025518}" id="{2FF1B83B-4952-4966-B4B1-47B3AC049632}">
    <text>Todo: Update when we get feedback on BeO/Be costs</text>
  </threadedComment>
  <threadedComment ref="A86" dT="2025-06-19T20:12:17.00" personId="{3B5B98F4-A9DA-4CFD-B3D9-F7907C025518}" id="{F6865C1A-8659-4D0C-9CFD-0A520F68BF51}">
    <text>Todo: Update when we get feedback on BeO/Be costs</text>
  </threadedComment>
  <threadedComment ref="N90" dT="2025-05-27T17:51:06.88" personId="{84112BF8-C915-7B4B-BE8E-B816F75B981C}" id="{6A4E3BDC-584F-1346-BF51-598A89836273}">
    <text>Cost data about B4C are based on the B4C of the control drums</text>
  </threadedComment>
  <threadedComment ref="L100" dT="2025-05-27T22:16:31.29" personId="{84112BF8-C915-7B4B-BE8E-B816F75B981C}" id="{368934F8-D933-024D-9355-5B191B79D6E7}">
    <text xml:space="preserve">The primary pump needs to be expensive!!
</text>
  </threadedComment>
  <threadedComment ref="K119" dT="2025-06-20T17:42:02.17" personId="{3B5B98F4-A9DA-4CFD-B3D9-F7907C025518}" id="{25250E12-7DF8-42FE-A9C3-6F5AE6FD64C9}">
    <text>Baseline Cost: 8844770 1978USD
Escalation (to 2023): 8.155</text>
  </threadedComment>
  <threadedComment ref="J145" dT="2025-06-19T23:17:33.50" personId="{84112BF8-C915-7B4B-BE8E-B816F75B981C}" id="{BDE8F098-EF81-461E-B745-0627E6989C51}">
    <text>The cost is multiplied by 0.5 since the
 shipping included international shipping</text>
  </threadedComment>
  <threadedComment ref="C157" dT="2025-06-20T19:13:57.21" personId="{3B5B98F4-A9DA-4CFD-B3D9-F7907C025518}" id="{8C62D7C0-F520-42A3-9908-A880BA4D938B}">
    <text xml:space="preserve">Variable costs that are not fuel-based, such as borated water, control rods, burnable poisons, and other consumable </text>
  </threadedComment>
  <threadedComment ref="C157" dT="2025-06-20T19:14:14.35" personId="{3B5B98F4-A9DA-4CFD-B3D9-F7907C025518}" id="{60EA5C16-5BC5-40F2-AD75-9609617C429D}" parentId="{8C62D7C0-F520-42A3-9908-A880BA4D938B}">
    <text>For the GCMR, likley includes replacement coolant, CO2 refill, etc.</text>
  </threadedComment>
  <threadedComment ref="C161" dT="2025-06-20T19:15:18.25" personId="{3B5B98F4-A9DA-4CFD-B3D9-F7907C025518}" id="{335259DE-3294-4740-8C40-6B23AE73FFDB}">
    <text xml:space="preserve">Upgrades to maintain or improve plant capacity, meet future regulatory requirements, or plant life extensions. These costs are considered "sustaining capital" for continued plant operation and performance. </text>
  </threadedComment>
  <threadedComment ref="C161" dT="2025-06-20T19:15:33.63" personId="{3B5B98F4-A9DA-4CFD-B3D9-F7907C025518}" id="{BCE40344-6953-455E-AB5E-F11B66204C5B}" parentId="{335259DE-3294-4740-8C40-6B23AE73FFDB}">
    <text>Will allocate vessel, internals, IHX replacement, etc.</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doi.org/10.3929/ethz-b-000709311" TargetMode="External"/><Relationship Id="rId13" Type="http://schemas.openxmlformats.org/officeDocument/2006/relationships/printerSettings" Target="../printerSettings/printerSettings1.bin"/><Relationship Id="rId3" Type="http://schemas.openxmlformats.org/officeDocument/2006/relationships/hyperlink" Target="https://www.sciencedirect.com/science/article/pii/S1290072903000218" TargetMode="External"/><Relationship Id="rId7" Type="http://schemas.openxmlformats.org/officeDocument/2006/relationships/hyperlink" Target="https://doi.org/10.1016/j.nucengdes.2023.112470" TargetMode="External"/><Relationship Id="rId12" Type="http://schemas.openxmlformats.org/officeDocument/2006/relationships/hyperlink" Target="https://doi.org/10.1016/j.rser.2021.111880" TargetMode="External"/><Relationship Id="rId2" Type="http://schemas.openxmlformats.org/officeDocument/2006/relationships/hyperlink" Target="https://inldigitallibrary.inl.gov/sites/sti/sti/Sort_129862.pdf" TargetMode="External"/><Relationship Id="rId16" Type="http://schemas.microsoft.com/office/2017/10/relationships/threadedComment" Target="../threadedComments/threadedComment1.xml"/><Relationship Id="rId1" Type="http://schemas.openxmlformats.org/officeDocument/2006/relationships/hyperlink" Target="https://inldigitallibrary.inl.gov/sites/sti/sti/Sort_107010.pdf" TargetMode="External"/><Relationship Id="rId6" Type="http://schemas.openxmlformats.org/officeDocument/2006/relationships/hyperlink" Target="https://doi.org/10.1016/j.nucengdes.2023.112470" TargetMode="External"/><Relationship Id="rId11" Type="http://schemas.openxmlformats.org/officeDocument/2006/relationships/hyperlink" Target="https://doi.org/10.1016/j.rser.2021.111880" TargetMode="External"/><Relationship Id="rId5" Type="http://schemas.openxmlformats.org/officeDocument/2006/relationships/hyperlink" Target="https://www.osti.gov/biblio/2447366" TargetMode="External"/><Relationship Id="rId15" Type="http://schemas.openxmlformats.org/officeDocument/2006/relationships/comments" Target="../comments1.xml"/><Relationship Id="rId10" Type="http://schemas.openxmlformats.org/officeDocument/2006/relationships/hyperlink" Target="https://doi.org/10.1016/j.rser.2021.111880" TargetMode="External"/><Relationship Id="rId4" Type="http://schemas.openxmlformats.org/officeDocument/2006/relationships/hyperlink" Target="https://www.osti.gov/servlets/purl/5084245" TargetMode="External"/><Relationship Id="rId9" Type="http://schemas.openxmlformats.org/officeDocument/2006/relationships/hyperlink" Target="https://doi.org/10.3929/ethz-b-000709311" TargetMode="External"/><Relationship Id="rId1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30BDA-7164-B946-A942-FFAE4F744BBA}">
  <dimension ref="A1:AJ173"/>
  <sheetViews>
    <sheetView tabSelected="1" topLeftCell="C1" zoomScale="73" zoomScaleNormal="100" workbookViewId="0">
      <pane ySplit="1" topLeftCell="A90" activePane="bottomLeft" state="frozen"/>
      <selection activeCell="C1" sqref="C1"/>
      <selection pane="bottomLeft" activeCell="C95" sqref="A95:XFD95"/>
    </sheetView>
  </sheetViews>
  <sheetFormatPr defaultColWidth="10.6640625" defaultRowHeight="13.8"/>
  <cols>
    <col min="1" max="1" width="8.6640625" style="5" customWidth="1"/>
    <col min="2" max="2" width="9.44140625" style="5" customWidth="1"/>
    <col min="3" max="3" width="29.44140625" style="5" customWidth="1"/>
    <col min="4" max="4" width="41.6640625" style="6" customWidth="1"/>
    <col min="5" max="5" width="14.33203125" style="6" bestFit="1" customWidth="1"/>
    <col min="6" max="6" width="13.109375" style="6" customWidth="1"/>
    <col min="7" max="8" width="9.109375" style="6" customWidth="1"/>
    <col min="9" max="9" width="17.6640625" style="6" customWidth="1"/>
    <col min="10" max="10" width="12.33203125" style="37" customWidth="1"/>
    <col min="11" max="11" width="10" style="37" bestFit="1" customWidth="1"/>
    <col min="12" max="12" width="10" style="5" customWidth="1"/>
    <col min="13" max="13" width="15.6640625" style="5" customWidth="1"/>
    <col min="14" max="14" width="8.6640625" style="5" customWidth="1"/>
    <col min="15" max="15" width="7.33203125" style="5" customWidth="1"/>
    <col min="16" max="16" width="7.6640625" style="5" customWidth="1"/>
    <col min="17" max="17" width="8.109375" style="5" customWidth="1"/>
    <col min="18" max="18" width="10.6640625" style="5" customWidth="1"/>
    <col min="19" max="19" width="29" style="5" customWidth="1"/>
    <col min="20" max="20" width="37.109375" style="5" customWidth="1"/>
    <col min="21" max="21" width="81.109375" style="5" customWidth="1"/>
    <col min="22" max="22" width="18.6640625" style="5" customWidth="1"/>
    <col min="23" max="23" width="28.109375" style="5" customWidth="1"/>
    <col min="24" max="25" width="16.6640625" style="37" customWidth="1"/>
    <col min="26" max="26" width="12.44140625" style="5" bestFit="1" customWidth="1"/>
    <col min="27" max="28" width="16.6640625" style="37" customWidth="1"/>
    <col min="29" max="29" width="12.44140625" style="5" customWidth="1"/>
    <col min="30" max="32" width="6.6640625" style="37" customWidth="1"/>
    <col min="33" max="33" width="15.33203125" style="5" bestFit="1" customWidth="1"/>
    <col min="34" max="16384" width="10.6640625" style="5"/>
  </cols>
  <sheetData>
    <row r="1" spans="1:33" s="86" customFormat="1" ht="52.95" customHeight="1">
      <c r="A1" s="52" t="s">
        <v>0</v>
      </c>
      <c r="B1" s="43" t="s">
        <v>116</v>
      </c>
      <c r="C1" s="52" t="s">
        <v>117</v>
      </c>
      <c r="D1" s="43" t="s">
        <v>1</v>
      </c>
      <c r="E1" s="43" t="s">
        <v>340</v>
      </c>
      <c r="F1" s="43" t="s">
        <v>325</v>
      </c>
      <c r="G1" s="43" t="s">
        <v>326</v>
      </c>
      <c r="H1" s="43" t="s">
        <v>550</v>
      </c>
      <c r="I1" s="43" t="s">
        <v>554</v>
      </c>
      <c r="J1" s="52" t="s">
        <v>346</v>
      </c>
      <c r="K1" s="52" t="s">
        <v>378</v>
      </c>
      <c r="L1" s="52" t="s">
        <v>50</v>
      </c>
      <c r="M1" s="39" t="s">
        <v>64</v>
      </c>
      <c r="N1" s="52" t="s">
        <v>65</v>
      </c>
      <c r="O1" s="52" t="s">
        <v>66</v>
      </c>
      <c r="P1" s="52" t="s">
        <v>48</v>
      </c>
      <c r="Q1" s="52" t="s">
        <v>49</v>
      </c>
      <c r="R1" s="52" t="s">
        <v>76</v>
      </c>
      <c r="S1" s="52" t="s">
        <v>51</v>
      </c>
      <c r="T1" s="52" t="s">
        <v>54</v>
      </c>
      <c r="U1" s="52" t="s">
        <v>55</v>
      </c>
      <c r="V1" s="52" t="s">
        <v>62</v>
      </c>
      <c r="W1" s="85" t="s">
        <v>453</v>
      </c>
      <c r="X1" s="85" t="s">
        <v>454</v>
      </c>
      <c r="Y1" s="85" t="s">
        <v>455</v>
      </c>
      <c r="Z1" s="85" t="s">
        <v>456</v>
      </c>
      <c r="AA1" s="85" t="s">
        <v>457</v>
      </c>
      <c r="AB1" s="85" t="s">
        <v>458</v>
      </c>
      <c r="AC1" s="85" t="s">
        <v>459</v>
      </c>
      <c r="AD1" s="85" t="s">
        <v>460</v>
      </c>
      <c r="AE1" s="85" t="s">
        <v>461</v>
      </c>
      <c r="AF1" s="85" t="s">
        <v>462</v>
      </c>
      <c r="AG1" s="85" t="s">
        <v>463</v>
      </c>
    </row>
    <row r="2" spans="1:33" s="9" customFormat="1" ht="27">
      <c r="A2" s="39">
        <v>10</v>
      </c>
      <c r="B2" s="40">
        <f>IF(ISNUMBER(A2),
    IF(AND(A2=INT(A2), MOD(A2, 10) = 0), 0,
        IF(AND(A2=INT(A2), LEN(A2)=2), 1,
            IF(AND(A2=INT(A2), LEN(A2)=3), 2,
                LEN(A2) - FIND(".", A2) + 2)
        )
    ),
"")</f>
        <v>0</v>
      </c>
      <c r="C2" s="41" t="s">
        <v>2</v>
      </c>
      <c r="D2" s="41" t="str">
        <f>REPT("   ", B2*2) &amp; C2</f>
        <v>Capitalized Pre-Construction Costs</v>
      </c>
      <c r="E2" s="41"/>
      <c r="F2" s="41"/>
      <c r="G2" s="41"/>
      <c r="H2" s="41"/>
      <c r="I2" s="41"/>
      <c r="J2" s="42"/>
      <c r="K2" s="42"/>
      <c r="L2" s="40"/>
      <c r="M2" s="40"/>
      <c r="N2" s="40"/>
      <c r="O2" s="40"/>
      <c r="P2" s="40"/>
      <c r="Q2" s="42"/>
      <c r="R2" s="40"/>
      <c r="S2" s="43"/>
      <c r="T2" s="40"/>
      <c r="U2" s="40"/>
      <c r="V2" s="40"/>
      <c r="W2" s="80"/>
      <c r="X2" s="83"/>
      <c r="Y2" s="83"/>
      <c r="Z2" s="80"/>
      <c r="AA2" s="83"/>
      <c r="AB2" s="83"/>
      <c r="AC2" s="80"/>
      <c r="AD2" s="83"/>
      <c r="AE2" s="83"/>
      <c r="AF2" s="83"/>
      <c r="AG2" s="80"/>
    </row>
    <row r="3" spans="1:33" ht="25.2" customHeight="1">
      <c r="A3" s="39">
        <v>11</v>
      </c>
      <c r="B3" s="40">
        <f t="shared" ref="B3:B118" si="0">IF(ISNUMBER(A3),
    IF(AND(A3=INT(A3), MOD(A3, 10) = 0), 0,
        IF(AND(A3=INT(A3), LEN(A3)=2), 1,
            IF(AND(A3=INT(A3), LEN(A3)=3), 2,
                LEN(A3) - FIND(".", A3) + 2)
        )
    ),
"")</f>
        <v>1</v>
      </c>
      <c r="C3" s="44" t="s">
        <v>3</v>
      </c>
      <c r="D3" s="41" t="str">
        <f t="shared" ref="D3:D116" si="1">REPT("   ", B3*2) &amp; C3</f>
        <v xml:space="preserve">      Land Cost</v>
      </c>
      <c r="E3" s="41" t="s">
        <v>341</v>
      </c>
      <c r="F3" s="41"/>
      <c r="G3" s="41"/>
      <c r="H3" s="41"/>
      <c r="I3" s="41"/>
      <c r="J3" s="45"/>
      <c r="K3" s="46">
        <v>3800</v>
      </c>
      <c r="L3" s="47" t="s">
        <v>70</v>
      </c>
      <c r="M3" s="47" t="s">
        <v>68</v>
      </c>
      <c r="N3" s="48"/>
      <c r="O3" s="47" t="s">
        <v>78</v>
      </c>
      <c r="P3" s="47"/>
      <c r="Q3" s="68">
        <v>2022</v>
      </c>
      <c r="R3" s="47" t="s">
        <v>75</v>
      </c>
      <c r="S3" s="49" t="s">
        <v>53</v>
      </c>
      <c r="T3" s="98" t="s">
        <v>442</v>
      </c>
      <c r="U3" s="100" t="s">
        <v>56</v>
      </c>
      <c r="V3" s="51"/>
      <c r="W3" s="80" t="s">
        <v>465</v>
      </c>
      <c r="X3" s="84">
        <f>0.9*$J3</f>
        <v>0</v>
      </c>
      <c r="Y3" s="84">
        <f>1.5*J3</f>
        <v>0</v>
      </c>
      <c r="Z3" s="80" t="s">
        <v>448</v>
      </c>
      <c r="AA3" s="83">
        <f t="shared" ref="AA3" si="2">0.9*K3</f>
        <v>3420</v>
      </c>
      <c r="AB3" s="83">
        <f t="shared" ref="AB3" si="3">1.3*K3</f>
        <v>4940</v>
      </c>
      <c r="AC3" s="80" t="s">
        <v>448</v>
      </c>
      <c r="AD3" s="83" t="s">
        <v>472</v>
      </c>
      <c r="AE3" s="83" t="s">
        <v>473</v>
      </c>
      <c r="AF3" s="83" t="s">
        <v>474</v>
      </c>
      <c r="AG3" s="80" t="s">
        <v>449</v>
      </c>
    </row>
    <row r="4" spans="1:33">
      <c r="A4" s="39">
        <v>12</v>
      </c>
      <c r="B4" s="40">
        <f t="shared" si="0"/>
        <v>1</v>
      </c>
      <c r="C4" s="44" t="s">
        <v>52</v>
      </c>
      <c r="D4" s="41" t="str">
        <f t="shared" si="1"/>
        <v xml:space="preserve">      Site Permits</v>
      </c>
      <c r="E4" s="41" t="s">
        <v>341</v>
      </c>
      <c r="F4" s="41"/>
      <c r="G4" s="41"/>
      <c r="H4" s="41"/>
      <c r="I4" s="41"/>
      <c r="J4" s="45"/>
      <c r="K4" s="46">
        <f>10.03*1000</f>
        <v>10030</v>
      </c>
      <c r="L4" s="47" t="s">
        <v>67</v>
      </c>
      <c r="M4" s="47" t="s">
        <v>71</v>
      </c>
      <c r="N4" s="48"/>
      <c r="O4" s="47" t="s">
        <v>69</v>
      </c>
      <c r="P4" s="47"/>
      <c r="Q4" s="68">
        <v>2022</v>
      </c>
      <c r="R4" s="47" t="s">
        <v>72</v>
      </c>
      <c r="S4" s="49" t="s">
        <v>57</v>
      </c>
      <c r="T4" s="98"/>
      <c r="U4" s="100"/>
      <c r="V4" s="51"/>
      <c r="W4" s="80" t="s">
        <v>465</v>
      </c>
      <c r="X4" s="84">
        <f t="shared" ref="X4:X79" si="4">0.9*$J4</f>
        <v>0</v>
      </c>
      <c r="Y4" s="84">
        <f t="shared" ref="Y4:Y79" si="5">1.5*J4</f>
        <v>0</v>
      </c>
      <c r="Z4" s="80" t="s">
        <v>448</v>
      </c>
      <c r="AA4" s="83">
        <f t="shared" ref="AA4:AA79" si="6">0.9*K4</f>
        <v>9027</v>
      </c>
      <c r="AB4" s="83">
        <f t="shared" ref="AB4:AB79" si="7">1.3*K4</f>
        <v>13039</v>
      </c>
      <c r="AC4" s="80" t="s">
        <v>448</v>
      </c>
      <c r="AD4" s="83" t="s">
        <v>472</v>
      </c>
      <c r="AE4" s="83" t="s">
        <v>473</v>
      </c>
      <c r="AF4" s="83" t="s">
        <v>474</v>
      </c>
      <c r="AG4" s="80" t="s">
        <v>449</v>
      </c>
    </row>
    <row r="5" spans="1:33" ht="64.05" customHeight="1">
      <c r="A5" s="39">
        <v>13</v>
      </c>
      <c r="B5" s="40">
        <f t="shared" si="0"/>
        <v>1</v>
      </c>
      <c r="C5" s="44" t="s">
        <v>4</v>
      </c>
      <c r="D5" s="41" t="str">
        <f t="shared" si="1"/>
        <v xml:space="preserve">      Plant Licensing</v>
      </c>
      <c r="E5" s="41" t="s">
        <v>341</v>
      </c>
      <c r="F5" s="41"/>
      <c r="G5" s="41"/>
      <c r="H5" s="41"/>
      <c r="I5" s="41"/>
      <c r="J5" s="45">
        <f>0.5*(X5+Y5)</f>
        <v>27025000</v>
      </c>
      <c r="K5" s="46"/>
      <c r="L5" s="48"/>
      <c r="M5" s="48"/>
      <c r="N5" s="48"/>
      <c r="O5" s="47"/>
      <c r="P5" s="47"/>
      <c r="Q5" s="68">
        <v>2024</v>
      </c>
      <c r="R5" s="47" t="s">
        <v>72</v>
      </c>
      <c r="S5" s="49" t="s">
        <v>544</v>
      </c>
      <c r="T5" s="90" t="s">
        <v>545</v>
      </c>
      <c r="U5" s="100" t="s">
        <v>59</v>
      </c>
      <c r="V5" s="51"/>
      <c r="W5" s="80" t="s">
        <v>466</v>
      </c>
      <c r="X5" s="84">
        <f>0.47*45*1000000</f>
        <v>21150000</v>
      </c>
      <c r="Y5" s="84">
        <f>0.47*70*1000000</f>
        <v>32900000</v>
      </c>
      <c r="Z5" s="80" t="s">
        <v>470</v>
      </c>
      <c r="AA5" s="83">
        <f t="shared" si="6"/>
        <v>0</v>
      </c>
      <c r="AB5" s="83">
        <f t="shared" si="7"/>
        <v>0</v>
      </c>
      <c r="AC5" s="80" t="s">
        <v>448</v>
      </c>
      <c r="AD5" s="83" t="s">
        <v>472</v>
      </c>
      <c r="AE5" s="83" t="s">
        <v>473</v>
      </c>
      <c r="AF5" s="83" t="s">
        <v>474</v>
      </c>
      <c r="AG5" s="80" t="s">
        <v>449</v>
      </c>
    </row>
    <row r="6" spans="1:33" ht="15" customHeight="1">
      <c r="A6" s="39">
        <v>14</v>
      </c>
      <c r="B6" s="40">
        <f t="shared" si="0"/>
        <v>1</v>
      </c>
      <c r="C6" s="44" t="s">
        <v>120</v>
      </c>
      <c r="D6" s="41" t="str">
        <f t="shared" si="1"/>
        <v xml:space="preserve">      Plant Permits</v>
      </c>
      <c r="E6" s="41" t="s">
        <v>341</v>
      </c>
      <c r="F6" s="41"/>
      <c r="G6" s="41"/>
      <c r="H6" s="41"/>
      <c r="I6" s="41"/>
      <c r="J6" s="45">
        <v>3000000</v>
      </c>
      <c r="K6" s="46"/>
      <c r="L6" s="48"/>
      <c r="M6" s="48"/>
      <c r="N6" s="48"/>
      <c r="O6" s="47"/>
      <c r="P6" s="47"/>
      <c r="Q6" s="68">
        <v>2009</v>
      </c>
      <c r="R6" s="47" t="s">
        <v>72</v>
      </c>
      <c r="S6" s="49" t="s">
        <v>58</v>
      </c>
      <c r="T6" s="61" t="s">
        <v>141</v>
      </c>
      <c r="U6" s="100"/>
      <c r="V6" s="51"/>
      <c r="W6" s="80" t="s">
        <v>465</v>
      </c>
      <c r="X6" s="84">
        <f t="shared" si="4"/>
        <v>2700000</v>
      </c>
      <c r="Y6" s="84">
        <f t="shared" si="5"/>
        <v>4500000</v>
      </c>
      <c r="Z6" s="80" t="s">
        <v>448</v>
      </c>
      <c r="AA6" s="83">
        <f t="shared" si="6"/>
        <v>0</v>
      </c>
      <c r="AB6" s="83">
        <f t="shared" si="7"/>
        <v>0</v>
      </c>
      <c r="AC6" s="80" t="s">
        <v>448</v>
      </c>
      <c r="AD6" s="83" t="s">
        <v>472</v>
      </c>
      <c r="AE6" s="83" t="s">
        <v>473</v>
      </c>
      <c r="AF6" s="83" t="s">
        <v>474</v>
      </c>
      <c r="AG6" s="80" t="s">
        <v>449</v>
      </c>
    </row>
    <row r="7" spans="1:33" ht="24" customHeight="1">
      <c r="A7" s="39">
        <v>15</v>
      </c>
      <c r="B7" s="40">
        <f t="shared" si="0"/>
        <v>1</v>
      </c>
      <c r="C7" s="44" t="s">
        <v>5</v>
      </c>
      <c r="D7" s="41" t="str">
        <f t="shared" si="1"/>
        <v xml:space="preserve">      Plant Studies</v>
      </c>
      <c r="E7" s="41" t="s">
        <v>341</v>
      </c>
      <c r="F7" s="41"/>
      <c r="G7" s="41"/>
      <c r="H7" s="41"/>
      <c r="I7" s="41"/>
      <c r="J7" s="45">
        <f>MARVEL_Cost!C4</f>
        <v>5210451</v>
      </c>
      <c r="K7" s="46"/>
      <c r="L7" s="48"/>
      <c r="M7" s="48"/>
      <c r="N7" s="48"/>
      <c r="O7" s="47"/>
      <c r="P7" s="47"/>
      <c r="Q7" s="68">
        <v>2024</v>
      </c>
      <c r="R7" s="47" t="s">
        <v>72</v>
      </c>
      <c r="S7" s="49" t="s">
        <v>60</v>
      </c>
      <c r="T7" s="49" t="s">
        <v>443</v>
      </c>
      <c r="U7" s="51" t="s">
        <v>61</v>
      </c>
      <c r="V7" s="47" t="s">
        <v>63</v>
      </c>
      <c r="W7" s="80" t="s">
        <v>465</v>
      </c>
      <c r="X7" s="84">
        <f t="shared" si="4"/>
        <v>4689405.9000000004</v>
      </c>
      <c r="Y7" s="84">
        <f t="shared" si="5"/>
        <v>7815676.5</v>
      </c>
      <c r="Z7" s="80" t="s">
        <v>448</v>
      </c>
      <c r="AA7" s="83">
        <f t="shared" si="6"/>
        <v>0</v>
      </c>
      <c r="AB7" s="83">
        <f t="shared" si="7"/>
        <v>0</v>
      </c>
      <c r="AC7" s="80" t="s">
        <v>448</v>
      </c>
      <c r="AD7" s="83" t="s">
        <v>472</v>
      </c>
      <c r="AE7" s="83" t="s">
        <v>473</v>
      </c>
      <c r="AF7" s="83" t="s">
        <v>474</v>
      </c>
      <c r="AG7" s="80" t="s">
        <v>449</v>
      </c>
    </row>
    <row r="8" spans="1:33">
      <c r="A8" s="52">
        <v>20</v>
      </c>
      <c r="B8" s="40">
        <f>IF(ISNUMBER(A8),
    IF(AND(A8=INT(A8), MOD(A8, 10) = 0), 0,
        IF(AND(A8=INT(A8), LEN(A8)=2), 1,
            IF(AND(A8=INT(A8), LEN(A8)=3), 2,
                LEN(A8) - FIND(".", A8) + 2)
        )
    ),
"")</f>
        <v>0</v>
      </c>
      <c r="C8" s="44" t="s">
        <v>6</v>
      </c>
      <c r="D8" s="41" t="str">
        <f t="shared" si="1"/>
        <v>Capitalized Direct Costs</v>
      </c>
      <c r="E8" s="41"/>
      <c r="F8" s="41"/>
      <c r="G8" s="41"/>
      <c r="H8" s="41"/>
      <c r="I8" s="41"/>
      <c r="J8" s="45"/>
      <c r="K8" s="53"/>
      <c r="L8" s="52"/>
      <c r="M8" s="39"/>
      <c r="N8" s="52"/>
      <c r="O8" s="52"/>
      <c r="P8" s="52"/>
      <c r="Q8" s="71"/>
      <c r="R8" s="52"/>
      <c r="S8" s="52"/>
      <c r="T8" s="52"/>
      <c r="U8" s="52"/>
      <c r="V8" s="52"/>
      <c r="W8" s="80" t="s">
        <v>467</v>
      </c>
      <c r="X8" s="84"/>
      <c r="Y8" s="84"/>
      <c r="Z8" s="80"/>
      <c r="AA8" s="83"/>
      <c r="AB8" s="83"/>
      <c r="AC8" s="80"/>
      <c r="AD8" s="83"/>
      <c r="AE8" s="83"/>
      <c r="AF8" s="83"/>
      <c r="AG8" s="80"/>
    </row>
    <row r="9" spans="1:33">
      <c r="A9" s="39">
        <v>21</v>
      </c>
      <c r="B9" s="40">
        <f t="shared" si="0"/>
        <v>1</v>
      </c>
      <c r="C9" s="44" t="s">
        <v>7</v>
      </c>
      <c r="D9" s="41" t="str">
        <f t="shared" si="1"/>
        <v xml:space="preserve">      Structures and Improvements</v>
      </c>
      <c r="E9" s="41"/>
      <c r="F9" s="41"/>
      <c r="G9" s="41"/>
      <c r="H9" s="41"/>
      <c r="I9" s="41"/>
      <c r="J9" s="45"/>
      <c r="K9" s="46"/>
      <c r="L9" s="48"/>
      <c r="M9" s="48"/>
      <c r="N9" s="48"/>
      <c r="O9" s="48"/>
      <c r="P9" s="48"/>
      <c r="Q9" s="45"/>
      <c r="R9" s="48"/>
      <c r="S9" s="54"/>
      <c r="T9" s="48"/>
      <c r="U9" s="48"/>
      <c r="V9" s="51"/>
      <c r="W9" s="80"/>
      <c r="X9" s="84"/>
      <c r="Y9" s="84"/>
      <c r="Z9" s="80"/>
      <c r="AA9" s="83"/>
      <c r="AB9" s="83"/>
      <c r="AC9" s="80"/>
      <c r="AD9" s="83"/>
      <c r="AE9" s="83"/>
      <c r="AF9" s="83"/>
      <c r="AG9" s="80"/>
    </row>
    <row r="10" spans="1:33">
      <c r="A10" s="55">
        <v>211</v>
      </c>
      <c r="B10" s="40">
        <f t="shared" si="0"/>
        <v>2</v>
      </c>
      <c r="C10" s="44" t="s">
        <v>99</v>
      </c>
      <c r="D10" s="41" t="str">
        <f t="shared" si="1"/>
        <v xml:space="preserve">            Site Preparation/ Yard Work</v>
      </c>
      <c r="E10" s="41"/>
      <c r="F10" s="41"/>
      <c r="G10" s="41"/>
      <c r="H10" s="41"/>
      <c r="I10" s="41"/>
      <c r="J10" s="45"/>
      <c r="K10" s="46"/>
      <c r="L10" s="48"/>
      <c r="M10" s="48"/>
      <c r="N10" s="48"/>
      <c r="O10" s="48"/>
      <c r="P10" s="48"/>
      <c r="Q10" s="45"/>
      <c r="R10" s="48"/>
      <c r="S10" s="54"/>
      <c r="T10" s="48"/>
      <c r="U10" s="48"/>
      <c r="V10" s="51"/>
      <c r="W10" s="80"/>
      <c r="X10" s="84"/>
      <c r="Y10" s="84"/>
      <c r="Z10" s="80"/>
      <c r="AA10" s="83"/>
      <c r="AB10" s="83"/>
      <c r="AC10" s="80"/>
      <c r="AD10" s="83"/>
      <c r="AE10" s="83"/>
      <c r="AF10" s="83"/>
      <c r="AG10" s="80"/>
    </row>
    <row r="11" spans="1:33">
      <c r="A11" s="56">
        <v>211.1</v>
      </c>
      <c r="B11" s="40">
        <f t="shared" si="0"/>
        <v>3</v>
      </c>
      <c r="C11" s="44" t="s">
        <v>100</v>
      </c>
      <c r="D11" s="41" t="str">
        <f t="shared" si="1"/>
        <v xml:space="preserve">                  Cleaning and Grubbing</v>
      </c>
      <c r="E11" s="41" t="s">
        <v>341</v>
      </c>
      <c r="F11" s="41"/>
      <c r="G11" s="41"/>
      <c r="H11" s="41"/>
      <c r="I11" s="41"/>
      <c r="J11" s="45"/>
      <c r="K11" s="46">
        <f>4408.18*1.33</f>
        <v>5862.8794000000007</v>
      </c>
      <c r="L11" s="47" t="s">
        <v>70</v>
      </c>
      <c r="M11" s="47" t="s">
        <v>68</v>
      </c>
      <c r="N11" s="48"/>
      <c r="O11" s="47" t="s">
        <v>78</v>
      </c>
      <c r="P11" s="48"/>
      <c r="Q11" s="68">
        <v>2024</v>
      </c>
      <c r="R11" s="57" t="s">
        <v>85</v>
      </c>
      <c r="S11" s="98" t="s">
        <v>82</v>
      </c>
      <c r="T11" s="98" t="s">
        <v>83</v>
      </c>
      <c r="U11" s="99" t="s">
        <v>84</v>
      </c>
      <c r="V11" s="51"/>
      <c r="W11" s="80" t="s">
        <v>468</v>
      </c>
      <c r="X11" s="84">
        <f t="shared" si="4"/>
        <v>0</v>
      </c>
      <c r="Y11" s="84">
        <f t="shared" si="5"/>
        <v>0</v>
      </c>
      <c r="Z11" s="80" t="s">
        <v>448</v>
      </c>
      <c r="AA11" s="83">
        <f t="shared" si="6"/>
        <v>5276.5914600000006</v>
      </c>
      <c r="AB11" s="83">
        <f t="shared" si="7"/>
        <v>7621.7432200000012</v>
      </c>
      <c r="AC11" s="80" t="s">
        <v>448</v>
      </c>
      <c r="AD11" s="83" t="s">
        <v>472</v>
      </c>
      <c r="AE11" s="83" t="s">
        <v>473</v>
      </c>
      <c r="AF11" s="83" t="s">
        <v>474</v>
      </c>
      <c r="AG11" s="80" t="s">
        <v>449</v>
      </c>
    </row>
    <row r="12" spans="1:33">
      <c r="A12" s="55">
        <v>211.2</v>
      </c>
      <c r="B12" s="40">
        <f>IF(ISNUMBER(A12),
    IF(AND(A12=INT(A12), MOD(A12, 10) = 0), 0,
        IF(AND(A12=INT(A12), LEN(A12)=2), 1,
            IF(AND(A12=INT(A12), LEN(A12)=3), 2,
                LEN(A12) - FIND(".", A12) + 2)
        )
    ),
"")</f>
        <v>3</v>
      </c>
      <c r="C12" s="44" t="s">
        <v>101</v>
      </c>
      <c r="D12" s="41" t="str">
        <f t="shared" si="1"/>
        <v xml:space="preserve">                  Stripping Topsoil</v>
      </c>
      <c r="E12" s="41" t="s">
        <v>341</v>
      </c>
      <c r="F12" s="41"/>
      <c r="G12" s="41"/>
      <c r="H12" s="41"/>
      <c r="I12" s="41"/>
      <c r="J12" s="45"/>
      <c r="K12" s="46">
        <f>2565.2*1.33</f>
        <v>3411.7159999999999</v>
      </c>
      <c r="L12" s="47" t="s">
        <v>70</v>
      </c>
      <c r="M12" s="47" t="s">
        <v>68</v>
      </c>
      <c r="N12" s="48"/>
      <c r="O12" s="47" t="s">
        <v>78</v>
      </c>
      <c r="P12" s="48"/>
      <c r="Q12" s="68">
        <v>2024</v>
      </c>
      <c r="R12" s="57" t="s">
        <v>85</v>
      </c>
      <c r="S12" s="98"/>
      <c r="T12" s="98"/>
      <c r="U12" s="100"/>
      <c r="V12" s="51"/>
      <c r="W12" s="80" t="s">
        <v>468</v>
      </c>
      <c r="X12" s="84">
        <f t="shared" si="4"/>
        <v>0</v>
      </c>
      <c r="Y12" s="84">
        <f t="shared" si="5"/>
        <v>0</v>
      </c>
      <c r="Z12" s="80" t="s">
        <v>448</v>
      </c>
      <c r="AA12" s="83">
        <f t="shared" si="6"/>
        <v>3070.5443999999998</v>
      </c>
      <c r="AB12" s="83">
        <f t="shared" si="7"/>
        <v>4435.2308000000003</v>
      </c>
      <c r="AC12" s="80" t="s">
        <v>448</v>
      </c>
      <c r="AD12" s="83" t="s">
        <v>472</v>
      </c>
      <c r="AE12" s="83" t="s">
        <v>473</v>
      </c>
      <c r="AF12" s="83" t="s">
        <v>474</v>
      </c>
      <c r="AG12" s="80" t="s">
        <v>449</v>
      </c>
    </row>
    <row r="13" spans="1:33" ht="82.95" customHeight="1">
      <c r="A13" s="55">
        <v>211.3</v>
      </c>
      <c r="B13" s="40">
        <f t="shared" si="0"/>
        <v>3</v>
      </c>
      <c r="C13" s="44" t="s">
        <v>102</v>
      </c>
      <c r="D13" s="41" t="str">
        <f t="shared" si="1"/>
        <v xml:space="preserve">                  Excavation</v>
      </c>
      <c r="E13" s="41" t="s">
        <v>341</v>
      </c>
      <c r="F13" s="41"/>
      <c r="G13" s="41"/>
      <c r="H13" s="41"/>
      <c r="I13" s="41"/>
      <c r="J13" s="45"/>
      <c r="K13" s="46">
        <f>22.86*1.4</f>
        <v>32.003999999999998</v>
      </c>
      <c r="L13" s="47" t="s">
        <v>79</v>
      </c>
      <c r="M13" s="47" t="s">
        <v>80</v>
      </c>
      <c r="N13" s="48"/>
      <c r="O13" s="47" t="s">
        <v>81</v>
      </c>
      <c r="P13" s="48"/>
      <c r="Q13" s="68">
        <v>2024</v>
      </c>
      <c r="R13" s="57" t="s">
        <v>85</v>
      </c>
      <c r="S13" s="98"/>
      <c r="T13" s="98"/>
      <c r="U13" s="100"/>
      <c r="V13" s="51"/>
      <c r="W13" s="80" t="s">
        <v>468</v>
      </c>
      <c r="X13" s="84">
        <f t="shared" si="4"/>
        <v>0</v>
      </c>
      <c r="Y13" s="84">
        <f t="shared" si="5"/>
        <v>0</v>
      </c>
      <c r="Z13" s="80" t="s">
        <v>448</v>
      </c>
      <c r="AA13" s="83">
        <f t="shared" si="6"/>
        <v>28.803599999999999</v>
      </c>
      <c r="AB13" s="83">
        <f t="shared" si="7"/>
        <v>41.605199999999996</v>
      </c>
      <c r="AC13" s="80" t="s">
        <v>448</v>
      </c>
      <c r="AD13" s="83" t="s">
        <v>472</v>
      </c>
      <c r="AE13" s="83" t="s">
        <v>473</v>
      </c>
      <c r="AF13" s="83" t="s">
        <v>474</v>
      </c>
      <c r="AG13" s="80" t="s">
        <v>449</v>
      </c>
    </row>
    <row r="14" spans="1:33">
      <c r="A14" s="55">
        <v>212</v>
      </c>
      <c r="B14" s="40">
        <f t="shared" si="0"/>
        <v>2</v>
      </c>
      <c r="C14" s="44" t="s">
        <v>8</v>
      </c>
      <c r="D14" s="41" t="str">
        <f t="shared" si="1"/>
        <v xml:space="preserve">            Reactor Island Civil Structures</v>
      </c>
      <c r="E14" s="41"/>
      <c r="F14" s="41"/>
      <c r="G14" s="41"/>
      <c r="H14" s="41"/>
      <c r="I14" s="41"/>
      <c r="J14" s="45"/>
      <c r="K14" s="46"/>
      <c r="L14" s="48"/>
      <c r="M14" s="48"/>
      <c r="N14" s="48"/>
      <c r="O14" s="48"/>
      <c r="P14" s="48"/>
      <c r="Q14" s="68"/>
      <c r="R14" s="48"/>
      <c r="S14" s="49"/>
      <c r="T14" s="47"/>
      <c r="U14" s="51"/>
      <c r="V14" s="51"/>
      <c r="W14" s="80"/>
      <c r="X14" s="84"/>
      <c r="Y14" s="84"/>
      <c r="Z14" s="80"/>
      <c r="AA14" s="83"/>
      <c r="AB14" s="83"/>
      <c r="AC14" s="80"/>
      <c r="AD14" s="83"/>
      <c r="AE14" s="83"/>
      <c r="AF14" s="83"/>
      <c r="AG14" s="80"/>
    </row>
    <row r="15" spans="1:33" ht="27">
      <c r="A15" s="55">
        <v>212.1</v>
      </c>
      <c r="B15" s="40">
        <f t="shared" si="0"/>
        <v>3</v>
      </c>
      <c r="C15" s="44" t="s">
        <v>103</v>
      </c>
      <c r="D15" s="41" t="str">
        <f t="shared" si="1"/>
        <v xml:space="preserve">                  Reactor Building Slab Roof</v>
      </c>
      <c r="E15" s="41" t="s">
        <v>341</v>
      </c>
      <c r="F15" s="49"/>
      <c r="G15" s="41"/>
      <c r="H15" s="41"/>
      <c r="I15" s="41"/>
      <c r="J15" s="45"/>
      <c r="K15" s="46">
        <f>1200 *1.53</f>
        <v>1836</v>
      </c>
      <c r="L15" s="47" t="s">
        <v>79</v>
      </c>
      <c r="M15" s="49" t="s">
        <v>86</v>
      </c>
      <c r="N15" s="48"/>
      <c r="O15" s="47" t="s">
        <v>81</v>
      </c>
      <c r="P15" s="48"/>
      <c r="Q15" s="68">
        <v>2024</v>
      </c>
      <c r="R15" s="47" t="s">
        <v>77</v>
      </c>
      <c r="S15" s="98" t="s">
        <v>82</v>
      </c>
      <c r="T15" s="98" t="s">
        <v>83</v>
      </c>
      <c r="U15" s="99" t="s">
        <v>84</v>
      </c>
      <c r="V15" s="51"/>
      <c r="W15" s="80" t="s">
        <v>468</v>
      </c>
      <c r="X15" s="84">
        <f t="shared" si="4"/>
        <v>0</v>
      </c>
      <c r="Y15" s="84">
        <f t="shared" si="5"/>
        <v>0</v>
      </c>
      <c r="Z15" s="80" t="s">
        <v>448</v>
      </c>
      <c r="AA15" s="83">
        <f t="shared" si="6"/>
        <v>1652.4</v>
      </c>
      <c r="AB15" s="83">
        <f t="shared" si="7"/>
        <v>2386.8000000000002</v>
      </c>
      <c r="AC15" s="80" t="s">
        <v>448</v>
      </c>
      <c r="AD15" s="83" t="s">
        <v>472</v>
      </c>
      <c r="AE15" s="83" t="s">
        <v>473</v>
      </c>
      <c r="AF15" s="83" t="s">
        <v>474</v>
      </c>
      <c r="AG15" s="80" t="s">
        <v>449</v>
      </c>
    </row>
    <row r="16" spans="1:33" ht="27">
      <c r="A16" s="55">
        <v>212.2</v>
      </c>
      <c r="B16" s="40">
        <f t="shared" si="0"/>
        <v>3</v>
      </c>
      <c r="C16" s="44" t="s">
        <v>121</v>
      </c>
      <c r="D16" s="41" t="str">
        <f t="shared" si="1"/>
        <v xml:space="preserve">                  Reactor Building Basement</v>
      </c>
      <c r="E16" s="41" t="s">
        <v>341</v>
      </c>
      <c r="F16" s="41"/>
      <c r="G16" s="41"/>
      <c r="H16" s="41"/>
      <c r="I16" s="41"/>
      <c r="J16" s="45"/>
      <c r="K16" s="46">
        <f>943.9*1.53</f>
        <v>1444.1669999999999</v>
      </c>
      <c r="L16" s="47" t="s">
        <v>79</v>
      </c>
      <c r="M16" s="49" t="s">
        <v>91</v>
      </c>
      <c r="N16" s="48"/>
      <c r="O16" s="47" t="s">
        <v>81</v>
      </c>
      <c r="P16" s="48"/>
      <c r="Q16" s="68">
        <v>2024</v>
      </c>
      <c r="R16" s="47" t="s">
        <v>77</v>
      </c>
      <c r="S16" s="98"/>
      <c r="T16" s="98"/>
      <c r="U16" s="100"/>
      <c r="V16" s="51"/>
      <c r="W16" s="80" t="s">
        <v>468</v>
      </c>
      <c r="X16" s="84">
        <f t="shared" si="4"/>
        <v>0</v>
      </c>
      <c r="Y16" s="84">
        <f t="shared" si="5"/>
        <v>0</v>
      </c>
      <c r="Z16" s="80" t="s">
        <v>448</v>
      </c>
      <c r="AA16" s="83">
        <f t="shared" si="6"/>
        <v>1299.7502999999999</v>
      </c>
      <c r="AB16" s="83">
        <f t="shared" si="7"/>
        <v>1877.4170999999999</v>
      </c>
      <c r="AC16" s="80" t="s">
        <v>448</v>
      </c>
      <c r="AD16" s="83" t="s">
        <v>472</v>
      </c>
      <c r="AE16" s="83" t="s">
        <v>473</v>
      </c>
      <c r="AF16" s="83" t="s">
        <v>474</v>
      </c>
      <c r="AG16" s="80" t="s">
        <v>449</v>
      </c>
    </row>
    <row r="17" spans="1:33" ht="40.200000000000003">
      <c r="A17" s="55">
        <v>212.3</v>
      </c>
      <c r="B17" s="40">
        <f t="shared" si="0"/>
        <v>3</v>
      </c>
      <c r="C17" s="44" t="s">
        <v>104</v>
      </c>
      <c r="D17" s="41" t="str">
        <f>REPT("   ", B17*2) &amp; C17</f>
        <v xml:space="preserve">                  Reactor Building Walls</v>
      </c>
      <c r="E17" s="41" t="s">
        <v>341</v>
      </c>
      <c r="F17" s="41"/>
      <c r="G17" s="41"/>
      <c r="H17" s="41"/>
      <c r="I17" s="41"/>
      <c r="J17" s="45"/>
      <c r="K17" s="46">
        <f>721.21*1.53</f>
        <v>1103.4513000000002</v>
      </c>
      <c r="L17" s="47" t="s">
        <v>79</v>
      </c>
      <c r="M17" s="49" t="s">
        <v>92</v>
      </c>
      <c r="N17" s="48"/>
      <c r="O17" s="47" t="s">
        <v>81</v>
      </c>
      <c r="P17" s="48"/>
      <c r="Q17" s="68">
        <v>2024</v>
      </c>
      <c r="R17" s="47" t="s">
        <v>77</v>
      </c>
      <c r="S17" s="98"/>
      <c r="T17" s="98"/>
      <c r="U17" s="100"/>
      <c r="V17" s="51"/>
      <c r="W17" s="80" t="s">
        <v>468</v>
      </c>
      <c r="X17" s="84">
        <f t="shared" si="4"/>
        <v>0</v>
      </c>
      <c r="Y17" s="84">
        <f t="shared" si="5"/>
        <v>0</v>
      </c>
      <c r="Z17" s="80" t="s">
        <v>448</v>
      </c>
      <c r="AA17" s="83">
        <f t="shared" si="6"/>
        <v>993.10617000000013</v>
      </c>
      <c r="AB17" s="83">
        <f t="shared" si="7"/>
        <v>1434.4866900000002</v>
      </c>
      <c r="AC17" s="80" t="s">
        <v>448</v>
      </c>
      <c r="AD17" s="83" t="s">
        <v>472</v>
      </c>
      <c r="AE17" s="83" t="s">
        <v>473</v>
      </c>
      <c r="AF17" s="83" t="s">
        <v>474</v>
      </c>
      <c r="AG17" s="80" t="s">
        <v>449</v>
      </c>
    </row>
    <row r="18" spans="1:33" ht="66.599999999999994">
      <c r="A18" s="55">
        <v>212.4</v>
      </c>
      <c r="B18" s="40">
        <f t="shared" si="0"/>
        <v>3</v>
      </c>
      <c r="C18" s="44" t="s">
        <v>511</v>
      </c>
      <c r="D18" s="41" t="str">
        <f>REPT("   ", B18*2) &amp; C18</f>
        <v xml:space="preserve">                  Reactor Building Liner</v>
      </c>
      <c r="E18" s="41" t="s">
        <v>341</v>
      </c>
      <c r="F18" s="41"/>
      <c r="G18" s="41"/>
      <c r="H18" s="41"/>
      <c r="I18" s="41"/>
      <c r="J18" s="45"/>
      <c r="K18" s="46">
        <f>60848829/9373</f>
        <v>6491.9267043635973</v>
      </c>
      <c r="L18" s="47" t="s">
        <v>515</v>
      </c>
      <c r="M18" s="49" t="s">
        <v>516</v>
      </c>
      <c r="N18" s="48">
        <v>9373</v>
      </c>
      <c r="O18" s="47" t="s">
        <v>514</v>
      </c>
      <c r="P18" s="48">
        <v>1</v>
      </c>
      <c r="Q18" s="68">
        <v>2018</v>
      </c>
      <c r="R18" s="47" t="s">
        <v>77</v>
      </c>
      <c r="S18" s="49" t="s">
        <v>512</v>
      </c>
      <c r="T18" s="49" t="s">
        <v>512</v>
      </c>
      <c r="U18" s="88" t="s">
        <v>513</v>
      </c>
      <c r="V18" s="51"/>
      <c r="W18" s="80" t="s">
        <v>468</v>
      </c>
      <c r="X18" s="84">
        <f t="shared" si="4"/>
        <v>0</v>
      </c>
      <c r="Y18" s="84">
        <f t="shared" ref="Y18" si="8">1.5*J18</f>
        <v>0</v>
      </c>
      <c r="Z18" s="80" t="s">
        <v>448</v>
      </c>
      <c r="AA18" s="83">
        <f t="shared" ref="AA18" si="9">0.9*K18</f>
        <v>5842.7340339272378</v>
      </c>
      <c r="AB18" s="83">
        <f t="shared" ref="AB18" si="10">1.3*K18</f>
        <v>8439.504715672676</v>
      </c>
      <c r="AC18" s="80" t="s">
        <v>448</v>
      </c>
      <c r="AD18" s="83" t="s">
        <v>472</v>
      </c>
      <c r="AE18" s="83" t="s">
        <v>473</v>
      </c>
      <c r="AF18" s="83" t="s">
        <v>474</v>
      </c>
      <c r="AG18" s="80" t="s">
        <v>449</v>
      </c>
    </row>
    <row r="19" spans="1:33" ht="66.599999999999994">
      <c r="A19" s="55">
        <v>212.5</v>
      </c>
      <c r="B19" s="40">
        <f t="shared" si="0"/>
        <v>3</v>
      </c>
      <c r="C19" s="44" t="s">
        <v>517</v>
      </c>
      <c r="D19" s="41" t="str">
        <f>REPT("   ", B19*2) &amp; C19</f>
        <v xml:space="preserve">                  Reactor Building HVAC</v>
      </c>
      <c r="E19" s="41" t="s">
        <v>341</v>
      </c>
      <c r="F19" s="41"/>
      <c r="G19" s="41"/>
      <c r="H19" s="41"/>
      <c r="I19" s="41"/>
      <c r="J19" s="45"/>
      <c r="K19" s="46">
        <f>5917967/N19</f>
        <v>1731.9189347380743</v>
      </c>
      <c r="L19" s="47" t="s">
        <v>153</v>
      </c>
      <c r="M19" s="49" t="s">
        <v>154</v>
      </c>
      <c r="N19" s="48">
        <v>3417</v>
      </c>
      <c r="O19" s="47" t="s">
        <v>152</v>
      </c>
      <c r="P19" s="48">
        <v>0.8</v>
      </c>
      <c r="Q19" s="68">
        <v>2018</v>
      </c>
      <c r="R19" s="47" t="s">
        <v>77</v>
      </c>
      <c r="S19" s="49" t="s">
        <v>512</v>
      </c>
      <c r="T19" s="49" t="s">
        <v>512</v>
      </c>
      <c r="U19" s="88" t="s">
        <v>513</v>
      </c>
      <c r="V19" s="51"/>
      <c r="W19" s="80" t="s">
        <v>468</v>
      </c>
      <c r="X19" s="84">
        <f t="shared" si="4"/>
        <v>0</v>
      </c>
      <c r="Y19" s="84">
        <f t="shared" ref="Y19" si="11">1.5*J19</f>
        <v>0</v>
      </c>
      <c r="Z19" s="80" t="s">
        <v>448</v>
      </c>
      <c r="AA19" s="83">
        <f t="shared" ref="AA19" si="12">0.9*K19</f>
        <v>1558.727041264267</v>
      </c>
      <c r="AB19" s="83">
        <f t="shared" ref="AB19" si="13">1.3*K19</f>
        <v>2251.4946151594968</v>
      </c>
      <c r="AC19" s="80" t="s">
        <v>448</v>
      </c>
      <c r="AD19" s="83" t="s">
        <v>472</v>
      </c>
      <c r="AE19" s="83" t="s">
        <v>473</v>
      </c>
      <c r="AF19" s="83" t="s">
        <v>474</v>
      </c>
      <c r="AG19" s="80" t="s">
        <v>449</v>
      </c>
    </row>
    <row r="20" spans="1:33">
      <c r="A20" s="55">
        <v>213</v>
      </c>
      <c r="B20" s="40">
        <f t="shared" si="0"/>
        <v>2</v>
      </c>
      <c r="C20" s="44" t="s">
        <v>122</v>
      </c>
      <c r="D20" s="41" t="str">
        <f t="shared" si="1"/>
        <v xml:space="preserve">            Main Function Buildings</v>
      </c>
      <c r="E20" s="41"/>
      <c r="F20" s="41"/>
      <c r="G20" s="41"/>
      <c r="H20" s="41"/>
      <c r="I20" s="41"/>
      <c r="J20" s="45"/>
      <c r="K20" s="46"/>
      <c r="L20" s="48"/>
      <c r="M20" s="54"/>
      <c r="N20" s="48"/>
      <c r="O20" s="48"/>
      <c r="P20" s="48"/>
      <c r="Q20" s="45"/>
      <c r="R20" s="48"/>
      <c r="S20" s="54"/>
      <c r="T20" s="49"/>
      <c r="U20" s="50"/>
      <c r="V20" s="51"/>
      <c r="W20" s="80"/>
      <c r="X20" s="84"/>
      <c r="Y20" s="84"/>
      <c r="Z20" s="80"/>
      <c r="AA20" s="83"/>
      <c r="AB20" s="83"/>
      <c r="AC20" s="80"/>
      <c r="AD20" s="83"/>
      <c r="AE20" s="83"/>
      <c r="AF20" s="83"/>
      <c r="AG20" s="80"/>
    </row>
    <row r="21" spans="1:33">
      <c r="A21" s="55">
        <v>213.1</v>
      </c>
      <c r="B21" s="40">
        <f t="shared" si="0"/>
        <v>3</v>
      </c>
      <c r="C21" s="44" t="s">
        <v>123</v>
      </c>
      <c r="D21" s="41" t="str">
        <f t="shared" si="1"/>
        <v xml:space="preserve">                  Energy conversion Building</v>
      </c>
      <c r="E21" s="41"/>
      <c r="F21" s="41"/>
      <c r="G21" s="41"/>
      <c r="H21" s="41"/>
      <c r="I21" s="41"/>
      <c r="J21" s="45"/>
      <c r="K21" s="46"/>
      <c r="L21" s="48"/>
      <c r="M21" s="54"/>
      <c r="N21" s="48"/>
      <c r="O21" s="48"/>
      <c r="P21" s="48"/>
      <c r="Q21" s="45"/>
      <c r="R21" s="48"/>
      <c r="S21" s="54"/>
      <c r="T21" s="49"/>
      <c r="U21" s="50"/>
      <c r="V21" s="51"/>
      <c r="W21" s="80"/>
      <c r="X21" s="84"/>
      <c r="Y21" s="84"/>
      <c r="Z21" s="80"/>
      <c r="AA21" s="83"/>
      <c r="AB21" s="83"/>
      <c r="AC21" s="80"/>
      <c r="AD21" s="83"/>
      <c r="AE21" s="83"/>
      <c r="AF21" s="83"/>
      <c r="AG21" s="80"/>
    </row>
    <row r="22" spans="1:33" ht="27">
      <c r="A22" s="55">
        <v>213.11</v>
      </c>
      <c r="B22" s="40">
        <f t="shared" si="0"/>
        <v>4</v>
      </c>
      <c r="C22" s="44" t="s">
        <v>110</v>
      </c>
      <c r="D22" s="41" t="str">
        <f t="shared" si="1"/>
        <v xml:space="preserve">                        Energy Conversion Building Slab Roof</v>
      </c>
      <c r="E22" s="41" t="s">
        <v>341</v>
      </c>
      <c r="F22" s="41"/>
      <c r="G22" s="41"/>
      <c r="H22" s="41"/>
      <c r="I22" s="41"/>
      <c r="J22" s="45"/>
      <c r="K22" s="46">
        <f>1200</f>
        <v>1200</v>
      </c>
      <c r="L22" s="47" t="s">
        <v>79</v>
      </c>
      <c r="M22" s="49" t="s">
        <v>90</v>
      </c>
      <c r="N22" s="48"/>
      <c r="O22" s="47" t="s">
        <v>81</v>
      </c>
      <c r="P22" s="48"/>
      <c r="Q22" s="68">
        <v>2024</v>
      </c>
      <c r="R22" s="47" t="s">
        <v>77</v>
      </c>
      <c r="S22" s="98" t="s">
        <v>549</v>
      </c>
      <c r="T22" s="98" t="s">
        <v>83</v>
      </c>
      <c r="U22" s="99" t="s">
        <v>84</v>
      </c>
      <c r="V22" s="51"/>
      <c r="W22" s="80" t="s">
        <v>468</v>
      </c>
      <c r="X22" s="84">
        <f t="shared" si="4"/>
        <v>0</v>
      </c>
      <c r="Y22" s="84">
        <f t="shared" si="5"/>
        <v>0</v>
      </c>
      <c r="Z22" s="80" t="s">
        <v>448</v>
      </c>
      <c r="AA22" s="83">
        <f t="shared" si="6"/>
        <v>1080</v>
      </c>
      <c r="AB22" s="83">
        <f t="shared" si="7"/>
        <v>1560</v>
      </c>
      <c r="AC22" s="80" t="s">
        <v>448</v>
      </c>
      <c r="AD22" s="83" t="s">
        <v>472</v>
      </c>
      <c r="AE22" s="83" t="s">
        <v>473</v>
      </c>
      <c r="AF22" s="83" t="s">
        <v>474</v>
      </c>
      <c r="AG22" s="80" t="s">
        <v>449</v>
      </c>
    </row>
    <row r="23" spans="1:33" ht="27">
      <c r="A23" s="55">
        <v>213.12</v>
      </c>
      <c r="B23" s="40">
        <f t="shared" si="0"/>
        <v>4</v>
      </c>
      <c r="C23" s="44" t="s">
        <v>118</v>
      </c>
      <c r="D23" s="41" t="str">
        <f>REPT("   ", B23*2) &amp; C23</f>
        <v xml:space="preserve">                        Energy Conversion Building Basement</v>
      </c>
      <c r="E23" s="41" t="s">
        <v>341</v>
      </c>
      <c r="F23" s="41"/>
      <c r="G23" s="41"/>
      <c r="H23" s="41"/>
      <c r="I23" s="41"/>
      <c r="J23" s="45"/>
      <c r="K23" s="46">
        <f>943.9</f>
        <v>943.9</v>
      </c>
      <c r="L23" s="47" t="s">
        <v>79</v>
      </c>
      <c r="M23" s="49" t="s">
        <v>93</v>
      </c>
      <c r="N23" s="48"/>
      <c r="O23" s="47" t="s">
        <v>81</v>
      </c>
      <c r="P23" s="48"/>
      <c r="Q23" s="68">
        <v>2024</v>
      </c>
      <c r="R23" s="47" t="s">
        <v>77</v>
      </c>
      <c r="S23" s="98"/>
      <c r="T23" s="98"/>
      <c r="U23" s="100"/>
      <c r="V23" s="51"/>
      <c r="W23" s="80" t="s">
        <v>468</v>
      </c>
      <c r="X23" s="84">
        <f t="shared" si="4"/>
        <v>0</v>
      </c>
      <c r="Y23" s="84">
        <f t="shared" si="5"/>
        <v>0</v>
      </c>
      <c r="Z23" s="80" t="s">
        <v>448</v>
      </c>
      <c r="AA23" s="83">
        <f t="shared" si="6"/>
        <v>849.51</v>
      </c>
      <c r="AB23" s="83">
        <f t="shared" si="7"/>
        <v>1227.07</v>
      </c>
      <c r="AC23" s="80" t="s">
        <v>448</v>
      </c>
      <c r="AD23" s="83" t="s">
        <v>472</v>
      </c>
      <c r="AE23" s="83" t="s">
        <v>473</v>
      </c>
      <c r="AF23" s="83" t="s">
        <v>474</v>
      </c>
      <c r="AG23" s="80" t="s">
        <v>449</v>
      </c>
    </row>
    <row r="24" spans="1:33" ht="40.200000000000003">
      <c r="A24" s="55">
        <v>213.13</v>
      </c>
      <c r="B24" s="40">
        <f t="shared" si="0"/>
        <v>4</v>
      </c>
      <c r="C24" s="44" t="s">
        <v>111</v>
      </c>
      <c r="D24" s="41" t="str">
        <f t="shared" si="1"/>
        <v xml:space="preserve">                        Energy Conversion Building Walls</v>
      </c>
      <c r="E24" s="41" t="s">
        <v>341</v>
      </c>
      <c r="F24" s="41"/>
      <c r="G24" s="41"/>
      <c r="H24" s="41"/>
      <c r="I24" s="41"/>
      <c r="J24" s="45"/>
      <c r="K24" s="46">
        <f>721.21</f>
        <v>721.21</v>
      </c>
      <c r="L24" s="47" t="s">
        <v>79</v>
      </c>
      <c r="M24" s="49" t="s">
        <v>471</v>
      </c>
      <c r="N24" s="48"/>
      <c r="O24" s="47" t="s">
        <v>81</v>
      </c>
      <c r="P24" s="48"/>
      <c r="Q24" s="68">
        <v>2024</v>
      </c>
      <c r="R24" s="47" t="s">
        <v>77</v>
      </c>
      <c r="S24" s="98"/>
      <c r="T24" s="98"/>
      <c r="U24" s="100"/>
      <c r="V24" s="51"/>
      <c r="W24" s="80" t="s">
        <v>468</v>
      </c>
      <c r="X24" s="84">
        <f t="shared" si="4"/>
        <v>0</v>
      </c>
      <c r="Y24" s="84">
        <f t="shared" si="5"/>
        <v>0</v>
      </c>
      <c r="Z24" s="80" t="s">
        <v>448</v>
      </c>
      <c r="AA24" s="83">
        <f t="shared" si="6"/>
        <v>649.08900000000006</v>
      </c>
      <c r="AB24" s="83">
        <f t="shared" si="7"/>
        <v>937.57300000000009</v>
      </c>
      <c r="AC24" s="80" t="s">
        <v>448</v>
      </c>
      <c r="AD24" s="83" t="s">
        <v>472</v>
      </c>
      <c r="AE24" s="83" t="s">
        <v>473</v>
      </c>
      <c r="AF24" s="83" t="s">
        <v>474</v>
      </c>
      <c r="AG24" s="80" t="s">
        <v>449</v>
      </c>
    </row>
    <row r="25" spans="1:33">
      <c r="A25" s="55">
        <v>213.2</v>
      </c>
      <c r="B25" s="40">
        <f t="shared" si="0"/>
        <v>3</v>
      </c>
      <c r="C25" s="44" t="s">
        <v>105</v>
      </c>
      <c r="D25" s="41" t="str">
        <f t="shared" si="1"/>
        <v xml:space="preserve">                  Control building</v>
      </c>
      <c r="E25" s="41"/>
      <c r="F25" s="41"/>
      <c r="G25" s="41"/>
      <c r="H25" s="41"/>
      <c r="I25" s="41"/>
      <c r="J25" s="45"/>
      <c r="K25" s="46"/>
      <c r="L25" s="48"/>
      <c r="M25" s="54"/>
      <c r="N25" s="48"/>
      <c r="O25" s="48"/>
      <c r="P25" s="48"/>
      <c r="Q25" s="45"/>
      <c r="R25" s="48"/>
      <c r="S25" s="54"/>
      <c r="T25" s="49"/>
      <c r="U25" s="50"/>
      <c r="V25" s="51"/>
      <c r="W25" s="80"/>
      <c r="X25" s="84"/>
      <c r="Y25" s="84"/>
      <c r="Z25" s="80"/>
      <c r="AA25" s="83"/>
      <c r="AB25" s="83"/>
      <c r="AC25" s="80"/>
      <c r="AD25" s="83"/>
      <c r="AE25" s="83"/>
      <c r="AF25" s="83"/>
      <c r="AG25" s="80"/>
    </row>
    <row r="26" spans="1:33" ht="27">
      <c r="A26" s="55">
        <v>213.21</v>
      </c>
      <c r="B26" s="40">
        <f t="shared" si="0"/>
        <v>4</v>
      </c>
      <c r="C26" s="44" t="s">
        <v>112</v>
      </c>
      <c r="D26" s="41" t="str">
        <f t="shared" si="1"/>
        <v xml:space="preserve">                        Control Building Slab Roof</v>
      </c>
      <c r="E26" s="41" t="s">
        <v>341</v>
      </c>
      <c r="F26" s="41"/>
      <c r="G26" s="41"/>
      <c r="H26" s="41"/>
      <c r="I26" s="41"/>
      <c r="J26" s="45"/>
      <c r="K26" s="46">
        <f>1200</f>
        <v>1200</v>
      </c>
      <c r="L26" s="47" t="s">
        <v>79</v>
      </c>
      <c r="M26" s="49" t="s">
        <v>87</v>
      </c>
      <c r="N26" s="48"/>
      <c r="O26" s="47" t="s">
        <v>81</v>
      </c>
      <c r="P26" s="48"/>
      <c r="Q26" s="68">
        <v>2024</v>
      </c>
      <c r="R26" s="47" t="s">
        <v>77</v>
      </c>
      <c r="S26" s="98" t="s">
        <v>549</v>
      </c>
      <c r="T26" s="98" t="s">
        <v>83</v>
      </c>
      <c r="U26" s="99" t="s">
        <v>84</v>
      </c>
      <c r="V26" s="51"/>
      <c r="W26" s="80" t="s">
        <v>468</v>
      </c>
      <c r="X26" s="84">
        <f t="shared" si="4"/>
        <v>0</v>
      </c>
      <c r="Y26" s="84">
        <f t="shared" si="5"/>
        <v>0</v>
      </c>
      <c r="Z26" s="80" t="s">
        <v>448</v>
      </c>
      <c r="AA26" s="83">
        <f t="shared" si="6"/>
        <v>1080</v>
      </c>
      <c r="AB26" s="83">
        <f t="shared" si="7"/>
        <v>1560</v>
      </c>
      <c r="AC26" s="80" t="s">
        <v>448</v>
      </c>
      <c r="AD26" s="83" t="s">
        <v>472</v>
      </c>
      <c r="AE26" s="83" t="s">
        <v>473</v>
      </c>
      <c r="AF26" s="83" t="s">
        <v>474</v>
      </c>
      <c r="AG26" s="80" t="s">
        <v>449</v>
      </c>
    </row>
    <row r="27" spans="1:33" ht="27">
      <c r="A27" s="55">
        <v>213.22</v>
      </c>
      <c r="B27" s="40">
        <f t="shared" si="0"/>
        <v>4</v>
      </c>
      <c r="C27" s="44" t="s">
        <v>124</v>
      </c>
      <c r="D27" s="41" t="str">
        <f t="shared" si="1"/>
        <v xml:space="preserve">                        Control Building Basement</v>
      </c>
      <c r="E27" s="41" t="s">
        <v>341</v>
      </c>
      <c r="F27" s="41"/>
      <c r="G27" s="41"/>
      <c r="H27" s="41"/>
      <c r="I27" s="41"/>
      <c r="J27" s="45"/>
      <c r="K27" s="46">
        <f>943.9</f>
        <v>943.9</v>
      </c>
      <c r="L27" s="47" t="s">
        <v>79</v>
      </c>
      <c r="M27" s="49" t="s">
        <v>94</v>
      </c>
      <c r="N27" s="48"/>
      <c r="O27" s="47" t="s">
        <v>81</v>
      </c>
      <c r="P27" s="48"/>
      <c r="Q27" s="68">
        <v>2024</v>
      </c>
      <c r="R27" s="47" t="s">
        <v>77</v>
      </c>
      <c r="S27" s="98"/>
      <c r="T27" s="98"/>
      <c r="U27" s="100"/>
      <c r="V27" s="51"/>
      <c r="W27" s="80" t="s">
        <v>468</v>
      </c>
      <c r="X27" s="84">
        <f t="shared" si="4"/>
        <v>0</v>
      </c>
      <c r="Y27" s="84">
        <f t="shared" si="5"/>
        <v>0</v>
      </c>
      <c r="Z27" s="80" t="s">
        <v>448</v>
      </c>
      <c r="AA27" s="83">
        <f t="shared" si="6"/>
        <v>849.51</v>
      </c>
      <c r="AB27" s="83">
        <f t="shared" si="7"/>
        <v>1227.07</v>
      </c>
      <c r="AC27" s="80" t="s">
        <v>448</v>
      </c>
      <c r="AD27" s="83" t="s">
        <v>472</v>
      </c>
      <c r="AE27" s="83" t="s">
        <v>473</v>
      </c>
      <c r="AF27" s="83" t="s">
        <v>474</v>
      </c>
      <c r="AG27" s="80" t="s">
        <v>449</v>
      </c>
    </row>
    <row r="28" spans="1:33" ht="40.200000000000003">
      <c r="A28" s="55">
        <v>213.23</v>
      </c>
      <c r="B28" s="40">
        <f t="shared" si="0"/>
        <v>4</v>
      </c>
      <c r="C28" s="44" t="s">
        <v>113</v>
      </c>
      <c r="D28" s="41" t="str">
        <f t="shared" si="1"/>
        <v xml:space="preserve">                        Control Building Walls</v>
      </c>
      <c r="E28" s="41" t="s">
        <v>341</v>
      </c>
      <c r="F28" s="41"/>
      <c r="G28" s="41"/>
      <c r="H28" s="41"/>
      <c r="I28" s="41"/>
      <c r="J28" s="45"/>
      <c r="K28" s="46">
        <f>721.21</f>
        <v>721.21</v>
      </c>
      <c r="L28" s="47" t="s">
        <v>79</v>
      </c>
      <c r="M28" s="49" t="s">
        <v>142</v>
      </c>
      <c r="N28" s="48"/>
      <c r="O28" s="47" t="s">
        <v>81</v>
      </c>
      <c r="P28" s="48"/>
      <c r="Q28" s="68">
        <v>2024</v>
      </c>
      <c r="R28" s="47" t="s">
        <v>77</v>
      </c>
      <c r="S28" s="98"/>
      <c r="T28" s="98"/>
      <c r="U28" s="100"/>
      <c r="V28" s="51"/>
      <c r="W28" s="80" t="s">
        <v>468</v>
      </c>
      <c r="X28" s="84">
        <f t="shared" si="4"/>
        <v>0</v>
      </c>
      <c r="Y28" s="84">
        <f t="shared" si="5"/>
        <v>0</v>
      </c>
      <c r="Z28" s="80" t="s">
        <v>448</v>
      </c>
      <c r="AA28" s="83">
        <f t="shared" si="6"/>
        <v>649.08900000000006</v>
      </c>
      <c r="AB28" s="83">
        <f t="shared" si="7"/>
        <v>937.57300000000009</v>
      </c>
      <c r="AC28" s="80" t="s">
        <v>448</v>
      </c>
      <c r="AD28" s="83" t="s">
        <v>472</v>
      </c>
      <c r="AE28" s="83" t="s">
        <v>473</v>
      </c>
      <c r="AF28" s="83" t="s">
        <v>474</v>
      </c>
      <c r="AG28" s="80" t="s">
        <v>449</v>
      </c>
    </row>
    <row r="29" spans="1:33">
      <c r="A29" s="55">
        <v>213.3</v>
      </c>
      <c r="B29" s="40">
        <f t="shared" si="0"/>
        <v>3</v>
      </c>
      <c r="C29" s="44" t="s">
        <v>518</v>
      </c>
      <c r="D29" s="41" t="str">
        <f t="shared" si="1"/>
        <v xml:space="preserve">                  Integrated Heat Exchanger Building</v>
      </c>
      <c r="E29" s="41"/>
      <c r="F29" s="41" t="s">
        <v>351</v>
      </c>
      <c r="G29" s="41" t="s">
        <v>354</v>
      </c>
      <c r="H29" s="41"/>
      <c r="I29" s="41"/>
      <c r="J29" s="45"/>
      <c r="K29" s="46"/>
      <c r="L29" s="47"/>
      <c r="M29" s="49"/>
      <c r="N29" s="48"/>
      <c r="O29" s="47"/>
      <c r="P29" s="48"/>
      <c r="Q29" s="68"/>
      <c r="R29" s="47"/>
      <c r="S29" s="49"/>
      <c r="T29" s="49"/>
      <c r="U29" s="50"/>
      <c r="V29" s="51"/>
      <c r="W29" s="80"/>
      <c r="X29" s="84"/>
      <c r="Y29" s="84"/>
      <c r="Z29" s="80"/>
      <c r="AA29" s="83"/>
      <c r="AB29" s="83"/>
      <c r="AC29" s="80"/>
      <c r="AD29" s="83"/>
      <c r="AE29" s="83"/>
      <c r="AF29" s="83"/>
      <c r="AG29" s="80"/>
    </row>
    <row r="30" spans="1:33" ht="53.4">
      <c r="A30" s="55">
        <v>213.31</v>
      </c>
      <c r="B30" s="40">
        <f t="shared" si="0"/>
        <v>4</v>
      </c>
      <c r="C30" s="44" t="s">
        <v>519</v>
      </c>
      <c r="D30" s="41" t="str">
        <f t="shared" si="1"/>
        <v xml:space="preserve">                        Integrated Heat Exchanger Building Slab Roof</v>
      </c>
      <c r="E30" s="41" t="s">
        <v>341</v>
      </c>
      <c r="F30" s="41" t="s">
        <v>351</v>
      </c>
      <c r="G30" s="41" t="s">
        <v>354</v>
      </c>
      <c r="H30" s="41"/>
      <c r="I30" s="41"/>
      <c r="J30" s="45"/>
      <c r="K30" s="46">
        <f>1200</f>
        <v>1200</v>
      </c>
      <c r="L30" s="47" t="s">
        <v>79</v>
      </c>
      <c r="M30" s="49" t="s">
        <v>523</v>
      </c>
      <c r="N30" s="48"/>
      <c r="O30" s="47" t="s">
        <v>81</v>
      </c>
      <c r="P30" s="48"/>
      <c r="Q30" s="68">
        <v>2024</v>
      </c>
      <c r="R30" s="47" t="s">
        <v>77</v>
      </c>
      <c r="S30" s="98" t="s">
        <v>549</v>
      </c>
      <c r="T30" s="98" t="s">
        <v>83</v>
      </c>
      <c r="U30" s="99" t="s">
        <v>84</v>
      </c>
      <c r="V30" s="51"/>
      <c r="W30" s="80" t="s">
        <v>468</v>
      </c>
      <c r="X30" s="84">
        <f t="shared" si="4"/>
        <v>0</v>
      </c>
      <c r="Y30" s="84">
        <f t="shared" ref="Y30:Y33" si="14">1.5*J30</f>
        <v>0</v>
      </c>
      <c r="Z30" s="80" t="s">
        <v>448</v>
      </c>
      <c r="AA30" s="83">
        <f t="shared" ref="AA30:AA33" si="15">0.9*K30</f>
        <v>1080</v>
      </c>
      <c r="AB30" s="83">
        <f t="shared" ref="AB30:AB33" si="16">1.3*K30</f>
        <v>1560</v>
      </c>
      <c r="AC30" s="80" t="s">
        <v>448</v>
      </c>
      <c r="AD30" s="83" t="s">
        <v>472</v>
      </c>
      <c r="AE30" s="83" t="s">
        <v>473</v>
      </c>
      <c r="AF30" s="83" t="s">
        <v>474</v>
      </c>
      <c r="AG30" s="80" t="s">
        <v>449</v>
      </c>
    </row>
    <row r="31" spans="1:33" ht="53.4">
      <c r="A31" s="55">
        <v>213.32</v>
      </c>
      <c r="B31" s="40">
        <f t="shared" si="0"/>
        <v>4</v>
      </c>
      <c r="C31" s="44" t="s">
        <v>520</v>
      </c>
      <c r="D31" s="41" t="str">
        <f t="shared" si="1"/>
        <v xml:space="preserve">                        Integrated Heat Exchanger Building Basement</v>
      </c>
      <c r="E31" s="41" t="s">
        <v>341</v>
      </c>
      <c r="F31" s="41" t="s">
        <v>351</v>
      </c>
      <c r="G31" s="41" t="s">
        <v>354</v>
      </c>
      <c r="H31" s="41"/>
      <c r="I31" s="41"/>
      <c r="J31" s="45"/>
      <c r="K31" s="46">
        <f>943.9</f>
        <v>943.9</v>
      </c>
      <c r="L31" s="47" t="s">
        <v>79</v>
      </c>
      <c r="M31" s="49" t="s">
        <v>524</v>
      </c>
      <c r="N31" s="48"/>
      <c r="O31" s="47" t="s">
        <v>81</v>
      </c>
      <c r="P31" s="48"/>
      <c r="Q31" s="68">
        <v>2024</v>
      </c>
      <c r="R31" s="47" t="s">
        <v>77</v>
      </c>
      <c r="S31" s="98"/>
      <c r="T31" s="98"/>
      <c r="U31" s="100"/>
      <c r="V31" s="51"/>
      <c r="W31" s="80" t="s">
        <v>468</v>
      </c>
      <c r="X31" s="84">
        <f t="shared" si="4"/>
        <v>0</v>
      </c>
      <c r="Y31" s="84">
        <f t="shared" si="14"/>
        <v>0</v>
      </c>
      <c r="Z31" s="80" t="s">
        <v>448</v>
      </c>
      <c r="AA31" s="83">
        <f t="shared" si="15"/>
        <v>849.51</v>
      </c>
      <c r="AB31" s="83">
        <f t="shared" si="16"/>
        <v>1227.07</v>
      </c>
      <c r="AC31" s="80" t="s">
        <v>448</v>
      </c>
      <c r="AD31" s="83" t="s">
        <v>472</v>
      </c>
      <c r="AE31" s="83" t="s">
        <v>473</v>
      </c>
      <c r="AF31" s="83" t="s">
        <v>474</v>
      </c>
      <c r="AG31" s="80" t="s">
        <v>449</v>
      </c>
    </row>
    <row r="32" spans="1:33" ht="53.4">
      <c r="A32" s="55">
        <v>213.33</v>
      </c>
      <c r="B32" s="40">
        <f t="shared" si="0"/>
        <v>4</v>
      </c>
      <c r="C32" s="44" t="s">
        <v>521</v>
      </c>
      <c r="D32" s="41" t="str">
        <f t="shared" si="1"/>
        <v xml:space="preserve">                        Integrated Heat Exchanger Building Walls</v>
      </c>
      <c r="E32" s="41" t="s">
        <v>341</v>
      </c>
      <c r="F32" s="41" t="s">
        <v>351</v>
      </c>
      <c r="G32" s="41" t="s">
        <v>354</v>
      </c>
      <c r="H32" s="41"/>
      <c r="I32" s="41"/>
      <c r="J32" s="45"/>
      <c r="K32" s="46">
        <f>721.21</f>
        <v>721.21</v>
      </c>
      <c r="L32" s="47" t="s">
        <v>79</v>
      </c>
      <c r="M32" s="49" t="s">
        <v>525</v>
      </c>
      <c r="N32" s="48"/>
      <c r="O32" s="47" t="s">
        <v>81</v>
      </c>
      <c r="P32" s="48"/>
      <c r="Q32" s="68">
        <v>2024</v>
      </c>
      <c r="R32" s="47" t="s">
        <v>77</v>
      </c>
      <c r="S32" s="98"/>
      <c r="T32" s="98"/>
      <c r="U32" s="100"/>
      <c r="V32" s="51"/>
      <c r="W32" s="80" t="s">
        <v>468</v>
      </c>
      <c r="X32" s="84">
        <f t="shared" si="4"/>
        <v>0</v>
      </c>
      <c r="Y32" s="84">
        <f t="shared" si="14"/>
        <v>0</v>
      </c>
      <c r="Z32" s="80" t="s">
        <v>448</v>
      </c>
      <c r="AA32" s="83">
        <f t="shared" si="15"/>
        <v>649.08900000000006</v>
      </c>
      <c r="AB32" s="83">
        <f t="shared" si="16"/>
        <v>937.57300000000009</v>
      </c>
      <c r="AC32" s="80" t="s">
        <v>448</v>
      </c>
      <c r="AD32" s="83" t="s">
        <v>472</v>
      </c>
      <c r="AE32" s="83" t="s">
        <v>473</v>
      </c>
      <c r="AF32" s="83" t="s">
        <v>474</v>
      </c>
      <c r="AG32" s="80" t="s">
        <v>449</v>
      </c>
    </row>
    <row r="33" spans="1:33" ht="66.599999999999994">
      <c r="A33" s="55">
        <v>213.34</v>
      </c>
      <c r="B33" s="40">
        <f t="shared" si="0"/>
        <v>4</v>
      </c>
      <c r="C33" s="44" t="s">
        <v>522</v>
      </c>
      <c r="D33" s="41" t="str">
        <f t="shared" si="1"/>
        <v xml:space="preserve">                        Integrated Heat Exchanger Building Liner</v>
      </c>
      <c r="E33" s="41" t="s">
        <v>341</v>
      </c>
      <c r="F33" s="41" t="s">
        <v>351</v>
      </c>
      <c r="G33" s="41" t="s">
        <v>354</v>
      </c>
      <c r="H33" s="41"/>
      <c r="I33" s="41"/>
      <c r="J33" s="45"/>
      <c r="K33" s="46">
        <f>60848829/9373</f>
        <v>6491.9267043635973</v>
      </c>
      <c r="L33" s="47" t="s">
        <v>515</v>
      </c>
      <c r="M33" s="49" t="s">
        <v>526</v>
      </c>
      <c r="N33" s="48">
        <v>9373</v>
      </c>
      <c r="O33" s="47" t="s">
        <v>514</v>
      </c>
      <c r="P33" s="48">
        <v>1</v>
      </c>
      <c r="Q33" s="68">
        <v>2018</v>
      </c>
      <c r="R33" s="47" t="s">
        <v>77</v>
      </c>
      <c r="S33" s="49" t="s">
        <v>512</v>
      </c>
      <c r="T33" s="49" t="s">
        <v>512</v>
      </c>
      <c r="U33" s="88" t="s">
        <v>513</v>
      </c>
      <c r="V33" s="51"/>
      <c r="W33" s="80" t="s">
        <v>468</v>
      </c>
      <c r="X33" s="84">
        <f t="shared" si="4"/>
        <v>0</v>
      </c>
      <c r="Y33" s="84">
        <f t="shared" si="14"/>
        <v>0</v>
      </c>
      <c r="Z33" s="80" t="s">
        <v>448</v>
      </c>
      <c r="AA33" s="83">
        <f t="shared" si="15"/>
        <v>5842.7340339272378</v>
      </c>
      <c r="AB33" s="83">
        <f t="shared" si="16"/>
        <v>8439.504715672676</v>
      </c>
      <c r="AC33" s="80" t="s">
        <v>448</v>
      </c>
      <c r="AD33" s="83" t="s">
        <v>472</v>
      </c>
      <c r="AE33" s="83" t="s">
        <v>473</v>
      </c>
      <c r="AF33" s="83" t="s">
        <v>474</v>
      </c>
      <c r="AG33" s="80" t="s">
        <v>449</v>
      </c>
    </row>
    <row r="34" spans="1:33">
      <c r="A34" s="55">
        <v>214</v>
      </c>
      <c r="B34" s="40">
        <f t="shared" si="0"/>
        <v>2</v>
      </c>
      <c r="C34" s="44" t="s">
        <v>9</v>
      </c>
      <c r="D34" s="41" t="str">
        <f t="shared" si="1"/>
        <v xml:space="preserve">            Buildings to Support Main Function </v>
      </c>
      <c r="E34" s="41"/>
      <c r="F34" s="41"/>
      <c r="G34" s="41"/>
      <c r="H34" s="41"/>
      <c r="I34" s="41"/>
      <c r="J34" s="45"/>
      <c r="K34" s="46"/>
      <c r="L34" s="48"/>
      <c r="M34" s="54"/>
      <c r="N34" s="48"/>
      <c r="O34" s="48"/>
      <c r="P34" s="48"/>
      <c r="Q34" s="45"/>
      <c r="R34" s="48"/>
      <c r="S34" s="54"/>
      <c r="T34" s="47"/>
      <c r="U34" s="51"/>
      <c r="V34" s="51"/>
      <c r="W34" s="80"/>
      <c r="X34" s="84"/>
      <c r="Y34" s="84"/>
      <c r="Z34" s="80"/>
      <c r="AA34" s="83"/>
      <c r="AB34" s="83"/>
      <c r="AC34" s="80"/>
      <c r="AD34" s="83"/>
      <c r="AE34" s="83"/>
      <c r="AF34" s="83"/>
      <c r="AG34" s="80"/>
    </row>
    <row r="35" spans="1:33">
      <c r="A35" s="55">
        <v>214.1</v>
      </c>
      <c r="B35" s="40">
        <f t="shared" si="0"/>
        <v>3</v>
      </c>
      <c r="C35" s="44" t="s">
        <v>125</v>
      </c>
      <c r="D35" s="41" t="str">
        <f t="shared" si="1"/>
        <v xml:space="preserve">                  Fuel Management Buildings</v>
      </c>
      <c r="E35" s="41"/>
      <c r="F35" s="41"/>
      <c r="G35" s="41"/>
      <c r="H35" s="41"/>
      <c r="I35" s="41"/>
      <c r="J35" s="45"/>
      <c r="K35" s="46"/>
      <c r="L35" s="48"/>
      <c r="M35" s="54"/>
      <c r="N35" s="48"/>
      <c r="O35" s="48"/>
      <c r="P35" s="48"/>
      <c r="Q35" s="45"/>
      <c r="R35" s="48"/>
      <c r="S35" s="54"/>
      <c r="T35" s="47"/>
      <c r="U35" s="51"/>
      <c r="V35" s="51"/>
      <c r="W35" s="80"/>
      <c r="X35" s="84"/>
      <c r="Y35" s="84"/>
      <c r="Z35" s="80"/>
      <c r="AA35" s="83"/>
      <c r="AB35" s="83"/>
      <c r="AC35" s="80"/>
      <c r="AD35" s="83"/>
      <c r="AE35" s="83"/>
      <c r="AF35" s="83"/>
      <c r="AG35" s="80"/>
    </row>
    <row r="36" spans="1:33">
      <c r="A36" s="55">
        <v>214.11</v>
      </c>
      <c r="B36" s="40">
        <f t="shared" si="0"/>
        <v>4</v>
      </c>
      <c r="C36" s="44" t="s">
        <v>114</v>
      </c>
      <c r="D36" s="41" t="str">
        <f t="shared" si="1"/>
        <v xml:space="preserve">                        Refueling Building</v>
      </c>
      <c r="E36" s="41"/>
      <c r="F36" s="41"/>
      <c r="G36" s="41"/>
      <c r="H36" s="41"/>
      <c r="I36" s="41"/>
      <c r="J36" s="45"/>
      <c r="K36" s="46"/>
      <c r="L36" s="48"/>
      <c r="M36" s="54"/>
      <c r="N36" s="48"/>
      <c r="O36" s="48"/>
      <c r="P36" s="48"/>
      <c r="Q36" s="45"/>
      <c r="R36" s="48"/>
      <c r="S36" s="54"/>
      <c r="T36" s="47"/>
      <c r="U36" s="51"/>
      <c r="V36" s="51"/>
      <c r="W36" s="80"/>
      <c r="X36" s="84"/>
      <c r="Y36" s="84"/>
      <c r="Z36" s="80"/>
      <c r="AA36" s="83"/>
      <c r="AB36" s="83"/>
      <c r="AC36" s="80"/>
      <c r="AD36" s="83"/>
      <c r="AE36" s="83"/>
      <c r="AF36" s="83"/>
      <c r="AG36" s="80"/>
    </row>
    <row r="37" spans="1:33" s="35" customFormat="1" ht="26.4">
      <c r="A37" s="55">
        <v>214.11099999999999</v>
      </c>
      <c r="B37" s="40">
        <f t="shared" si="0"/>
        <v>5</v>
      </c>
      <c r="C37" s="44" t="s">
        <v>106</v>
      </c>
      <c r="D37" s="41" t="str">
        <f t="shared" si="1"/>
        <v xml:space="preserve">                              Refueling Building Slab Roof</v>
      </c>
      <c r="E37" s="41" t="s">
        <v>341</v>
      </c>
      <c r="F37" s="41"/>
      <c r="G37" s="41"/>
      <c r="H37" s="41"/>
      <c r="I37" s="41"/>
      <c r="J37" s="45"/>
      <c r="K37" s="46">
        <f>1200 *1.53</f>
        <v>1836</v>
      </c>
      <c r="L37" s="47" t="s">
        <v>79</v>
      </c>
      <c r="M37" s="49" t="s">
        <v>88</v>
      </c>
      <c r="N37" s="48"/>
      <c r="O37" s="47" t="s">
        <v>81</v>
      </c>
      <c r="P37" s="48"/>
      <c r="Q37" s="68">
        <v>2024</v>
      </c>
      <c r="R37" s="47" t="s">
        <v>77</v>
      </c>
      <c r="S37" s="98" t="s">
        <v>82</v>
      </c>
      <c r="T37" s="98" t="s">
        <v>83</v>
      </c>
      <c r="U37" s="99" t="s">
        <v>84</v>
      </c>
      <c r="V37" s="51"/>
      <c r="W37" s="80" t="s">
        <v>468</v>
      </c>
      <c r="X37" s="84">
        <f t="shared" si="4"/>
        <v>0</v>
      </c>
      <c r="Y37" s="84">
        <f t="shared" si="5"/>
        <v>0</v>
      </c>
      <c r="Z37" s="80" t="s">
        <v>467</v>
      </c>
      <c r="AA37" s="83">
        <f t="shared" si="6"/>
        <v>1652.4</v>
      </c>
      <c r="AB37" s="83">
        <f t="shared" si="7"/>
        <v>2386.8000000000002</v>
      </c>
      <c r="AC37" s="80" t="s">
        <v>448</v>
      </c>
      <c r="AD37" s="83" t="s">
        <v>472</v>
      </c>
      <c r="AE37" s="83" t="s">
        <v>473</v>
      </c>
      <c r="AF37" s="83" t="s">
        <v>474</v>
      </c>
      <c r="AG37" s="80" t="s">
        <v>449</v>
      </c>
    </row>
    <row r="38" spans="1:33" s="35" customFormat="1" ht="26.4">
      <c r="A38" s="55">
        <v>214.11199999999999</v>
      </c>
      <c r="B38" s="40">
        <f t="shared" si="0"/>
        <v>5</v>
      </c>
      <c r="C38" s="44" t="s">
        <v>119</v>
      </c>
      <c r="D38" s="41" t="str">
        <f t="shared" si="1"/>
        <v xml:space="preserve">                              Refueling Building Basement</v>
      </c>
      <c r="E38" s="41" t="s">
        <v>341</v>
      </c>
      <c r="F38" s="41"/>
      <c r="G38" s="41"/>
      <c r="H38" s="41"/>
      <c r="I38" s="41"/>
      <c r="J38" s="45"/>
      <c r="K38" s="46">
        <f>943.9*1.53</f>
        <v>1444.1669999999999</v>
      </c>
      <c r="L38" s="47" t="s">
        <v>79</v>
      </c>
      <c r="M38" s="49" t="s">
        <v>95</v>
      </c>
      <c r="N38" s="48"/>
      <c r="O38" s="47" t="s">
        <v>81</v>
      </c>
      <c r="P38" s="48"/>
      <c r="Q38" s="68">
        <v>2024</v>
      </c>
      <c r="R38" s="47" t="s">
        <v>77</v>
      </c>
      <c r="S38" s="98"/>
      <c r="T38" s="98"/>
      <c r="U38" s="100"/>
      <c r="V38" s="51"/>
      <c r="W38" s="80" t="s">
        <v>468</v>
      </c>
      <c r="X38" s="84">
        <f t="shared" si="4"/>
        <v>0</v>
      </c>
      <c r="Y38" s="84">
        <f t="shared" si="5"/>
        <v>0</v>
      </c>
      <c r="Z38" s="80" t="s">
        <v>448</v>
      </c>
      <c r="AA38" s="83">
        <f t="shared" si="6"/>
        <v>1299.7502999999999</v>
      </c>
      <c r="AB38" s="83">
        <f t="shared" si="7"/>
        <v>1877.4170999999999</v>
      </c>
      <c r="AC38" s="80" t="s">
        <v>448</v>
      </c>
      <c r="AD38" s="83" t="s">
        <v>472</v>
      </c>
      <c r="AE38" s="83" t="s">
        <v>473</v>
      </c>
      <c r="AF38" s="83" t="s">
        <v>474</v>
      </c>
      <c r="AG38" s="80" t="s">
        <v>449</v>
      </c>
    </row>
    <row r="39" spans="1:33" s="35" customFormat="1" ht="39.6">
      <c r="A39" s="55">
        <v>214.113</v>
      </c>
      <c r="B39" s="40">
        <f t="shared" si="0"/>
        <v>5</v>
      </c>
      <c r="C39" s="44" t="s">
        <v>107</v>
      </c>
      <c r="D39" s="41" t="str">
        <f t="shared" si="1"/>
        <v xml:space="preserve">                              Refueling Building Walls</v>
      </c>
      <c r="E39" s="41" t="s">
        <v>341</v>
      </c>
      <c r="F39" s="41"/>
      <c r="G39" s="41"/>
      <c r="H39" s="41"/>
      <c r="I39" s="41"/>
      <c r="J39" s="45"/>
      <c r="K39" s="46">
        <f>721.21*1.53</f>
        <v>1103.4513000000002</v>
      </c>
      <c r="L39" s="47" t="s">
        <v>79</v>
      </c>
      <c r="M39" s="49" t="s">
        <v>96</v>
      </c>
      <c r="N39" s="48"/>
      <c r="O39" s="47" t="s">
        <v>81</v>
      </c>
      <c r="P39" s="48"/>
      <c r="Q39" s="68">
        <v>2024</v>
      </c>
      <c r="R39" s="47" t="s">
        <v>77</v>
      </c>
      <c r="S39" s="98"/>
      <c r="T39" s="98"/>
      <c r="U39" s="100"/>
      <c r="V39" s="51"/>
      <c r="W39" s="80" t="s">
        <v>468</v>
      </c>
      <c r="X39" s="84">
        <f t="shared" si="4"/>
        <v>0</v>
      </c>
      <c r="Y39" s="84">
        <f t="shared" si="5"/>
        <v>0</v>
      </c>
      <c r="Z39" s="80" t="s">
        <v>448</v>
      </c>
      <c r="AA39" s="83">
        <f t="shared" si="6"/>
        <v>993.10617000000013</v>
      </c>
      <c r="AB39" s="83">
        <f t="shared" si="7"/>
        <v>1434.4866900000002</v>
      </c>
      <c r="AC39" s="80" t="s">
        <v>448</v>
      </c>
      <c r="AD39" s="83" t="s">
        <v>472</v>
      </c>
      <c r="AE39" s="83" t="s">
        <v>473</v>
      </c>
      <c r="AF39" s="83" t="s">
        <v>474</v>
      </c>
      <c r="AG39" s="80" t="s">
        <v>449</v>
      </c>
    </row>
    <row r="40" spans="1:33">
      <c r="A40" s="55">
        <v>214.12</v>
      </c>
      <c r="B40" s="40">
        <f t="shared" si="0"/>
        <v>4</v>
      </c>
      <c r="C40" s="44" t="s">
        <v>115</v>
      </c>
      <c r="D40" s="41" t="str">
        <f t="shared" si="1"/>
        <v xml:space="preserve">                        Spent Fuel Building</v>
      </c>
      <c r="E40" s="41"/>
      <c r="F40" s="41"/>
      <c r="G40" s="41"/>
      <c r="H40" s="41"/>
      <c r="I40" s="41"/>
      <c r="J40" s="45"/>
      <c r="K40" s="46"/>
      <c r="L40" s="48"/>
      <c r="M40" s="54"/>
      <c r="N40" s="48"/>
      <c r="O40" s="48"/>
      <c r="P40" s="48"/>
      <c r="Q40" s="45"/>
      <c r="R40" s="48"/>
      <c r="S40" s="54"/>
      <c r="T40" s="47"/>
      <c r="U40" s="51"/>
      <c r="V40" s="51"/>
      <c r="W40" s="80"/>
      <c r="X40" s="84"/>
      <c r="Y40" s="84"/>
      <c r="Z40" s="80"/>
      <c r="AA40" s="83"/>
      <c r="AB40" s="83"/>
      <c r="AC40" s="80"/>
      <c r="AD40" s="83"/>
      <c r="AE40" s="83"/>
      <c r="AF40" s="83"/>
      <c r="AG40" s="80"/>
    </row>
    <row r="41" spans="1:33" s="35" customFormat="1" ht="39.6">
      <c r="A41" s="55">
        <v>214.12100000000001</v>
      </c>
      <c r="B41" s="40">
        <f t="shared" si="0"/>
        <v>5</v>
      </c>
      <c r="C41" s="44" t="s">
        <v>108</v>
      </c>
      <c r="D41" s="41" t="str">
        <f t="shared" si="1"/>
        <v xml:space="preserve">                              Spent Fuel Building Slab Roof</v>
      </c>
      <c r="E41" s="41" t="s">
        <v>341</v>
      </c>
      <c r="F41" s="41"/>
      <c r="G41" s="41"/>
      <c r="H41" s="41"/>
      <c r="I41" s="41"/>
      <c r="J41" s="45"/>
      <c r="K41" s="46">
        <f>1200 *1.53</f>
        <v>1836</v>
      </c>
      <c r="L41" s="47" t="s">
        <v>79</v>
      </c>
      <c r="M41" s="49" t="s">
        <v>89</v>
      </c>
      <c r="N41" s="48"/>
      <c r="O41" s="47" t="s">
        <v>81</v>
      </c>
      <c r="P41" s="48"/>
      <c r="Q41" s="68">
        <v>2024</v>
      </c>
      <c r="R41" s="48" t="s">
        <v>77</v>
      </c>
      <c r="S41" s="98" t="s">
        <v>82</v>
      </c>
      <c r="T41" s="98" t="s">
        <v>83</v>
      </c>
      <c r="U41" s="99" t="s">
        <v>84</v>
      </c>
      <c r="V41" s="51"/>
      <c r="W41" s="80" t="s">
        <v>468</v>
      </c>
      <c r="X41" s="84">
        <f t="shared" si="4"/>
        <v>0</v>
      </c>
      <c r="Y41" s="84">
        <f t="shared" si="5"/>
        <v>0</v>
      </c>
      <c r="Z41" s="80" t="s">
        <v>448</v>
      </c>
      <c r="AA41" s="83">
        <f t="shared" si="6"/>
        <v>1652.4</v>
      </c>
      <c r="AB41" s="83">
        <f t="shared" si="7"/>
        <v>2386.8000000000002</v>
      </c>
      <c r="AC41" s="80" t="s">
        <v>448</v>
      </c>
      <c r="AD41" s="83" t="s">
        <v>472</v>
      </c>
      <c r="AE41" s="83" t="s">
        <v>473</v>
      </c>
      <c r="AF41" s="83" t="s">
        <v>474</v>
      </c>
      <c r="AG41" s="80" t="s">
        <v>449</v>
      </c>
    </row>
    <row r="42" spans="1:33" s="35" customFormat="1" ht="39.6">
      <c r="A42" s="55">
        <v>214.12200000000001</v>
      </c>
      <c r="B42" s="40">
        <f t="shared" si="0"/>
        <v>5</v>
      </c>
      <c r="C42" s="44" t="s">
        <v>126</v>
      </c>
      <c r="D42" s="41" t="str">
        <f t="shared" si="1"/>
        <v xml:space="preserve">                              Spent Fuel Building Basement</v>
      </c>
      <c r="E42" s="41" t="s">
        <v>341</v>
      </c>
      <c r="F42" s="41"/>
      <c r="G42" s="41"/>
      <c r="H42" s="41"/>
      <c r="I42" s="41"/>
      <c r="J42" s="45"/>
      <c r="K42" s="46">
        <f>943.9*1.53</f>
        <v>1444.1669999999999</v>
      </c>
      <c r="L42" s="47" t="s">
        <v>79</v>
      </c>
      <c r="M42" s="49" t="s">
        <v>97</v>
      </c>
      <c r="N42" s="48"/>
      <c r="O42" s="47" t="s">
        <v>81</v>
      </c>
      <c r="P42" s="48"/>
      <c r="Q42" s="68">
        <v>2024</v>
      </c>
      <c r="R42" s="48" t="s">
        <v>77</v>
      </c>
      <c r="S42" s="98"/>
      <c r="T42" s="98"/>
      <c r="U42" s="100"/>
      <c r="V42" s="51"/>
      <c r="W42" s="80" t="s">
        <v>468</v>
      </c>
      <c r="X42" s="84">
        <f t="shared" si="4"/>
        <v>0</v>
      </c>
      <c r="Y42" s="84">
        <f t="shared" si="5"/>
        <v>0</v>
      </c>
      <c r="Z42" s="80" t="s">
        <v>448</v>
      </c>
      <c r="AA42" s="83">
        <f t="shared" si="6"/>
        <v>1299.7502999999999</v>
      </c>
      <c r="AB42" s="83">
        <f t="shared" si="7"/>
        <v>1877.4170999999999</v>
      </c>
      <c r="AC42" s="80" t="s">
        <v>448</v>
      </c>
      <c r="AD42" s="83" t="s">
        <v>472</v>
      </c>
      <c r="AE42" s="83" t="s">
        <v>473</v>
      </c>
      <c r="AF42" s="83" t="s">
        <v>474</v>
      </c>
      <c r="AG42" s="80" t="s">
        <v>449</v>
      </c>
    </row>
    <row r="43" spans="1:33" s="35" customFormat="1" ht="39.6">
      <c r="A43" s="55">
        <v>214.12299999999999</v>
      </c>
      <c r="B43" s="40">
        <f t="shared" si="0"/>
        <v>5</v>
      </c>
      <c r="C43" s="44" t="s">
        <v>109</v>
      </c>
      <c r="D43" s="41" t="str">
        <f t="shared" si="1"/>
        <v xml:space="preserve">                              Spent Fuel Building Walls</v>
      </c>
      <c r="E43" s="41" t="s">
        <v>341</v>
      </c>
      <c r="F43" s="41"/>
      <c r="G43" s="41"/>
      <c r="H43" s="41"/>
      <c r="I43" s="41"/>
      <c r="J43" s="45"/>
      <c r="K43" s="46">
        <f>721.21*1.53</f>
        <v>1103.4513000000002</v>
      </c>
      <c r="L43" s="47" t="s">
        <v>79</v>
      </c>
      <c r="M43" s="49" t="s">
        <v>98</v>
      </c>
      <c r="N43" s="48"/>
      <c r="O43" s="47" t="s">
        <v>81</v>
      </c>
      <c r="P43" s="48"/>
      <c r="Q43" s="68">
        <v>2024</v>
      </c>
      <c r="R43" s="47" t="s">
        <v>77</v>
      </c>
      <c r="S43" s="98"/>
      <c r="T43" s="98"/>
      <c r="U43" s="100"/>
      <c r="V43" s="51"/>
      <c r="W43" s="80" t="s">
        <v>468</v>
      </c>
      <c r="X43" s="84">
        <f t="shared" si="4"/>
        <v>0</v>
      </c>
      <c r="Y43" s="84">
        <f t="shared" si="5"/>
        <v>0</v>
      </c>
      <c r="Z43" s="80" t="s">
        <v>448</v>
      </c>
      <c r="AA43" s="83">
        <f t="shared" si="6"/>
        <v>993.10617000000013</v>
      </c>
      <c r="AB43" s="83">
        <f t="shared" si="7"/>
        <v>1434.4866900000002</v>
      </c>
      <c r="AC43" s="80" t="s">
        <v>448</v>
      </c>
      <c r="AD43" s="83" t="s">
        <v>472</v>
      </c>
      <c r="AE43" s="83" t="s">
        <v>473</v>
      </c>
      <c r="AF43" s="83" t="s">
        <v>474</v>
      </c>
      <c r="AG43" s="80" t="s">
        <v>449</v>
      </c>
    </row>
    <row r="44" spans="1:33" ht="27">
      <c r="A44" s="55">
        <v>214.7</v>
      </c>
      <c r="B44" s="40">
        <f t="shared" si="0"/>
        <v>3</v>
      </c>
      <c r="C44" s="44" t="s">
        <v>144</v>
      </c>
      <c r="D44" s="41" t="str">
        <f t="shared" si="1"/>
        <v xml:space="preserve">                  Emergency and Start-up Power Systems Building</v>
      </c>
      <c r="E44" s="41"/>
      <c r="F44" s="41"/>
      <c r="G44" s="41"/>
      <c r="H44" s="41"/>
      <c r="I44" s="41"/>
      <c r="J44" s="45"/>
      <c r="K44" s="46"/>
      <c r="L44" s="47"/>
      <c r="M44" s="49"/>
      <c r="N44" s="48"/>
      <c r="O44" s="47"/>
      <c r="P44" s="48"/>
      <c r="Q44" s="68"/>
      <c r="R44" s="47"/>
      <c r="S44" s="49"/>
      <c r="T44" s="47"/>
      <c r="U44" s="51"/>
      <c r="V44" s="51"/>
      <c r="W44" s="80"/>
      <c r="X44" s="84"/>
      <c r="Y44" s="84"/>
      <c r="Z44" s="80"/>
      <c r="AA44" s="83"/>
      <c r="AB44" s="83"/>
      <c r="AC44" s="80"/>
      <c r="AD44" s="83"/>
      <c r="AE44" s="83"/>
      <c r="AF44" s="83"/>
      <c r="AG44" s="80"/>
    </row>
    <row r="45" spans="1:33">
      <c r="A45" s="55">
        <v>214.71</v>
      </c>
      <c r="B45" s="40">
        <f t="shared" si="0"/>
        <v>4</v>
      </c>
      <c r="C45" s="44" t="s">
        <v>143</v>
      </c>
      <c r="D45" s="41" t="str">
        <f t="shared" si="1"/>
        <v xml:space="preserve">                        Emergency Building</v>
      </c>
      <c r="E45" s="41"/>
      <c r="F45" s="41"/>
      <c r="G45" s="41"/>
      <c r="H45" s="41"/>
      <c r="I45" s="41"/>
      <c r="J45" s="45"/>
      <c r="K45" s="46"/>
      <c r="L45" s="47"/>
      <c r="M45" s="49"/>
      <c r="N45" s="48"/>
      <c r="O45" s="47"/>
      <c r="P45" s="48"/>
      <c r="Q45" s="68"/>
      <c r="R45" s="47"/>
      <c r="S45" s="49"/>
      <c r="T45" s="47"/>
      <c r="U45" s="51"/>
      <c r="V45" s="51"/>
      <c r="W45" s="80"/>
      <c r="X45" s="84"/>
      <c r="Y45" s="84"/>
      <c r="Z45" s="80"/>
      <c r="AA45" s="83"/>
      <c r="AB45" s="83"/>
      <c r="AC45" s="80"/>
      <c r="AD45" s="83"/>
      <c r="AE45" s="83"/>
      <c r="AF45" s="83"/>
      <c r="AG45" s="80"/>
    </row>
    <row r="46" spans="1:33" s="35" customFormat="1" ht="39.6">
      <c r="A46" s="55">
        <v>214.71100000000001</v>
      </c>
      <c r="B46" s="40">
        <f t="shared" si="0"/>
        <v>5</v>
      </c>
      <c r="C46" s="44" t="s">
        <v>146</v>
      </c>
      <c r="D46" s="41" t="str">
        <f t="shared" si="1"/>
        <v xml:space="preserve">                              Emergency Building Slab Roof</v>
      </c>
      <c r="E46" s="41" t="s">
        <v>341</v>
      </c>
      <c r="F46" s="41"/>
      <c r="G46" s="41"/>
      <c r="H46" s="41"/>
      <c r="I46" s="41"/>
      <c r="J46" s="45"/>
      <c r="K46" s="46">
        <f>1200</f>
        <v>1200</v>
      </c>
      <c r="L46" s="47" t="s">
        <v>79</v>
      </c>
      <c r="M46" s="49" t="s">
        <v>149</v>
      </c>
      <c r="N46" s="48"/>
      <c r="O46" s="47" t="s">
        <v>81</v>
      </c>
      <c r="P46" s="48"/>
      <c r="Q46" s="68">
        <v>2024</v>
      </c>
      <c r="R46" s="48" t="s">
        <v>77</v>
      </c>
      <c r="S46" s="98" t="s">
        <v>549</v>
      </c>
      <c r="T46" s="98" t="s">
        <v>83</v>
      </c>
      <c r="U46" s="99" t="s">
        <v>84</v>
      </c>
      <c r="V46" s="51"/>
      <c r="W46" s="80" t="s">
        <v>468</v>
      </c>
      <c r="X46" s="84">
        <f t="shared" si="4"/>
        <v>0</v>
      </c>
      <c r="Y46" s="84">
        <f t="shared" si="5"/>
        <v>0</v>
      </c>
      <c r="Z46" s="80" t="s">
        <v>448</v>
      </c>
      <c r="AA46" s="83">
        <f t="shared" si="6"/>
        <v>1080</v>
      </c>
      <c r="AB46" s="83">
        <f t="shared" si="7"/>
        <v>1560</v>
      </c>
      <c r="AC46" s="80" t="s">
        <v>448</v>
      </c>
      <c r="AD46" s="83" t="s">
        <v>472</v>
      </c>
      <c r="AE46" s="83" t="s">
        <v>473</v>
      </c>
      <c r="AF46" s="83" t="s">
        <v>474</v>
      </c>
      <c r="AG46" s="80" t="s">
        <v>449</v>
      </c>
    </row>
    <row r="47" spans="1:33" s="35" customFormat="1" ht="39.6">
      <c r="A47" s="55">
        <v>214.71199999999999</v>
      </c>
      <c r="B47" s="40">
        <f t="shared" si="0"/>
        <v>5</v>
      </c>
      <c r="C47" s="44" t="s">
        <v>147</v>
      </c>
      <c r="D47" s="41" t="str">
        <f t="shared" si="1"/>
        <v xml:space="preserve">                              Emergency Building Basement</v>
      </c>
      <c r="E47" s="41" t="s">
        <v>341</v>
      </c>
      <c r="F47" s="41"/>
      <c r="G47" s="41"/>
      <c r="H47" s="41"/>
      <c r="I47" s="41"/>
      <c r="J47" s="45"/>
      <c r="K47" s="46">
        <f>943.9</f>
        <v>943.9</v>
      </c>
      <c r="L47" s="47" t="s">
        <v>79</v>
      </c>
      <c r="M47" s="49" t="s">
        <v>150</v>
      </c>
      <c r="N47" s="48"/>
      <c r="O47" s="47" t="s">
        <v>81</v>
      </c>
      <c r="P47" s="48"/>
      <c r="Q47" s="68">
        <v>2024</v>
      </c>
      <c r="R47" s="48" t="s">
        <v>77</v>
      </c>
      <c r="S47" s="98"/>
      <c r="T47" s="98"/>
      <c r="U47" s="100"/>
      <c r="V47" s="51"/>
      <c r="W47" s="80" t="s">
        <v>468</v>
      </c>
      <c r="X47" s="84">
        <f t="shared" si="4"/>
        <v>0</v>
      </c>
      <c r="Y47" s="84">
        <f t="shared" si="5"/>
        <v>0</v>
      </c>
      <c r="Z47" s="80" t="s">
        <v>448</v>
      </c>
      <c r="AA47" s="83">
        <f t="shared" si="6"/>
        <v>849.51</v>
      </c>
      <c r="AB47" s="83">
        <f t="shared" si="7"/>
        <v>1227.07</v>
      </c>
      <c r="AC47" s="80" t="s">
        <v>448</v>
      </c>
      <c r="AD47" s="83" t="s">
        <v>472</v>
      </c>
      <c r="AE47" s="83" t="s">
        <v>473</v>
      </c>
      <c r="AF47" s="83" t="s">
        <v>474</v>
      </c>
      <c r="AG47" s="80" t="s">
        <v>449</v>
      </c>
    </row>
    <row r="48" spans="1:33" s="35" customFormat="1" ht="39.6">
      <c r="A48" s="55">
        <v>214.71299999999999</v>
      </c>
      <c r="B48" s="40">
        <f t="shared" si="0"/>
        <v>5</v>
      </c>
      <c r="C48" s="44" t="s">
        <v>148</v>
      </c>
      <c r="D48" s="41" t="str">
        <f t="shared" si="1"/>
        <v xml:space="preserve">                              Emergency Building Walls</v>
      </c>
      <c r="E48" s="41" t="s">
        <v>341</v>
      </c>
      <c r="F48" s="41"/>
      <c r="G48" s="41"/>
      <c r="H48" s="41"/>
      <c r="I48" s="41"/>
      <c r="J48" s="45"/>
      <c r="K48" s="46">
        <f>721.21</f>
        <v>721.21</v>
      </c>
      <c r="L48" s="47" t="s">
        <v>79</v>
      </c>
      <c r="M48" s="49" t="s">
        <v>151</v>
      </c>
      <c r="N48" s="48"/>
      <c r="O48" s="47" t="s">
        <v>81</v>
      </c>
      <c r="P48" s="48"/>
      <c r="Q48" s="68">
        <v>2024</v>
      </c>
      <c r="R48" s="47" t="s">
        <v>77</v>
      </c>
      <c r="S48" s="98"/>
      <c r="T48" s="98"/>
      <c r="U48" s="100"/>
      <c r="V48" s="51"/>
      <c r="W48" s="80" t="s">
        <v>468</v>
      </c>
      <c r="X48" s="84">
        <f t="shared" si="4"/>
        <v>0</v>
      </c>
      <c r="Y48" s="84">
        <f t="shared" si="5"/>
        <v>0</v>
      </c>
      <c r="Z48" s="80" t="s">
        <v>448</v>
      </c>
      <c r="AA48" s="83">
        <f t="shared" si="6"/>
        <v>649.08900000000006</v>
      </c>
      <c r="AB48" s="83">
        <f t="shared" si="7"/>
        <v>937.57300000000009</v>
      </c>
      <c r="AC48" s="80" t="s">
        <v>448</v>
      </c>
      <c r="AD48" s="83" t="s">
        <v>472</v>
      </c>
      <c r="AE48" s="83" t="s">
        <v>473</v>
      </c>
      <c r="AF48" s="83" t="s">
        <v>474</v>
      </c>
      <c r="AG48" s="80" t="s">
        <v>449</v>
      </c>
    </row>
    <row r="49" spans="1:33" ht="103.95" customHeight="1">
      <c r="A49" s="55">
        <v>214.72</v>
      </c>
      <c r="B49" s="40">
        <f t="shared" si="0"/>
        <v>4</v>
      </c>
      <c r="C49" s="58" t="s">
        <v>145</v>
      </c>
      <c r="D49" s="41" t="str">
        <f t="shared" si="1"/>
        <v xml:space="preserve">                        Diesel Generator</v>
      </c>
      <c r="E49" s="41" t="s">
        <v>341</v>
      </c>
      <c r="F49" s="41"/>
      <c r="G49" s="41"/>
      <c r="H49" s="41"/>
      <c r="I49" s="41"/>
      <c r="J49" s="45"/>
      <c r="K49" s="59">
        <f>MARVEL_Cost!C11/N49</f>
        <v>2717311.5662650601</v>
      </c>
      <c r="L49" s="47" t="s">
        <v>153</v>
      </c>
      <c r="M49" s="49" t="s">
        <v>154</v>
      </c>
      <c r="N49" s="47">
        <f>'Design Variables'!B3/1000</f>
        <v>8.3000000000000004E-2</v>
      </c>
      <c r="O49" s="47" t="s">
        <v>152</v>
      </c>
      <c r="P49" s="47">
        <v>0.7</v>
      </c>
      <c r="Q49" s="68">
        <v>2024</v>
      </c>
      <c r="R49" s="47" t="s">
        <v>74</v>
      </c>
      <c r="S49" s="49" t="s">
        <v>155</v>
      </c>
      <c r="T49" s="49" t="s">
        <v>156</v>
      </c>
      <c r="U49" s="60" t="s">
        <v>157</v>
      </c>
      <c r="V49" s="51"/>
      <c r="W49" s="80" t="s">
        <v>464</v>
      </c>
      <c r="X49" s="84">
        <f t="shared" si="4"/>
        <v>0</v>
      </c>
      <c r="Y49" s="84">
        <f t="shared" si="5"/>
        <v>0</v>
      </c>
      <c r="Z49" s="80" t="s">
        <v>448</v>
      </c>
      <c r="AA49" s="83">
        <f t="shared" si="6"/>
        <v>2445580.4096385543</v>
      </c>
      <c r="AB49" s="83">
        <f t="shared" si="7"/>
        <v>3532505.0361445784</v>
      </c>
      <c r="AC49" s="80" t="s">
        <v>448</v>
      </c>
      <c r="AD49" s="83" t="s">
        <v>472</v>
      </c>
      <c r="AE49" s="83" t="s">
        <v>473</v>
      </c>
      <c r="AF49" s="83" t="s">
        <v>474</v>
      </c>
      <c r="AG49" s="80" t="s">
        <v>449</v>
      </c>
    </row>
    <row r="50" spans="1:33" ht="12.75" customHeight="1">
      <c r="A50" s="55">
        <v>214.8</v>
      </c>
      <c r="B50" s="40">
        <f t="shared" si="0"/>
        <v>3</v>
      </c>
      <c r="C50" s="58" t="s">
        <v>480</v>
      </c>
      <c r="D50" s="41" t="str">
        <f t="shared" si="1"/>
        <v xml:space="preserve">                  Auxilliary Building</v>
      </c>
      <c r="E50" s="41"/>
      <c r="F50" s="41"/>
      <c r="G50" s="41"/>
      <c r="H50" s="41"/>
      <c r="I50" s="41"/>
      <c r="J50" s="45"/>
      <c r="K50" s="59"/>
      <c r="L50" s="47"/>
      <c r="M50" s="49"/>
      <c r="N50" s="47"/>
      <c r="O50" s="47"/>
      <c r="P50" s="47"/>
      <c r="Q50" s="68"/>
      <c r="R50" s="47"/>
      <c r="S50" s="49"/>
      <c r="T50" s="49"/>
      <c r="U50" s="60"/>
      <c r="V50" s="51"/>
      <c r="W50" s="80"/>
      <c r="X50" s="84"/>
      <c r="Y50" s="84"/>
      <c r="Z50" s="80"/>
      <c r="AA50" s="83"/>
      <c r="AB50" s="83"/>
      <c r="AC50" s="80"/>
      <c r="AD50" s="83"/>
      <c r="AE50" s="83"/>
      <c r="AF50" s="83"/>
      <c r="AG50" s="80"/>
    </row>
    <row r="51" spans="1:33">
      <c r="A51" s="55">
        <v>214.81</v>
      </c>
      <c r="B51" s="40">
        <f t="shared" si="0"/>
        <v>4</v>
      </c>
      <c r="C51" s="58" t="s">
        <v>481</v>
      </c>
      <c r="D51" s="41" t="str">
        <f t="shared" si="1"/>
        <v xml:space="preserve">                        Maniplator Building</v>
      </c>
      <c r="E51" s="41"/>
      <c r="F51" s="41"/>
      <c r="G51" s="47"/>
      <c r="H51" s="47"/>
      <c r="I51" s="47"/>
      <c r="J51" s="45"/>
      <c r="K51" s="59"/>
      <c r="L51" s="47"/>
      <c r="M51" s="49"/>
      <c r="N51" s="47"/>
      <c r="O51" s="47"/>
      <c r="P51" s="47"/>
      <c r="Q51" s="68"/>
      <c r="R51" s="47"/>
      <c r="S51" s="49"/>
      <c r="T51" s="49"/>
      <c r="U51" s="60"/>
      <c r="V51" s="51"/>
      <c r="W51" s="80"/>
      <c r="X51" s="84"/>
      <c r="Y51" s="84"/>
      <c r="Z51" s="80"/>
      <c r="AA51" s="83"/>
      <c r="AB51" s="83"/>
      <c r="AC51" s="80"/>
      <c r="AD51" s="83"/>
      <c r="AE51" s="83"/>
      <c r="AF51" s="83"/>
      <c r="AG51" s="80"/>
    </row>
    <row r="52" spans="1:33" ht="40.200000000000003">
      <c r="A52" s="55">
        <v>214.81100000000001</v>
      </c>
      <c r="B52" s="40">
        <f t="shared" si="0"/>
        <v>5</v>
      </c>
      <c r="C52" s="58" t="s">
        <v>482</v>
      </c>
      <c r="D52" s="41" t="str">
        <f t="shared" si="1"/>
        <v xml:space="preserve">                              Manipulator Building Slab Roof</v>
      </c>
      <c r="E52" s="41" t="s">
        <v>341</v>
      </c>
      <c r="F52" s="41"/>
      <c r="G52" s="47"/>
      <c r="H52" s="47"/>
      <c r="I52" s="47"/>
      <c r="J52" s="45"/>
      <c r="K52" s="46">
        <f>1200</f>
        <v>1200</v>
      </c>
      <c r="L52" s="47" t="s">
        <v>79</v>
      </c>
      <c r="M52" s="58" t="s">
        <v>485</v>
      </c>
      <c r="N52" s="47"/>
      <c r="O52" s="47" t="s">
        <v>81</v>
      </c>
      <c r="P52" s="48"/>
      <c r="Q52" s="68">
        <v>2024</v>
      </c>
      <c r="R52" s="48" t="s">
        <v>77</v>
      </c>
      <c r="S52" s="108" t="s">
        <v>549</v>
      </c>
      <c r="T52" s="108" t="s">
        <v>83</v>
      </c>
      <c r="U52" s="102" t="s">
        <v>84</v>
      </c>
      <c r="V52" s="94" t="s">
        <v>501</v>
      </c>
      <c r="W52" s="80" t="s">
        <v>468</v>
      </c>
      <c r="X52" s="84">
        <f t="shared" si="4"/>
        <v>0</v>
      </c>
      <c r="Y52" s="84">
        <f t="shared" ref="Y52:Y54" si="17">1.5*J52</f>
        <v>0</v>
      </c>
      <c r="Z52" s="80" t="s">
        <v>448</v>
      </c>
      <c r="AA52" s="83">
        <f t="shared" ref="AA52:AA54" si="18">0.9*K52</f>
        <v>1080</v>
      </c>
      <c r="AB52" s="83">
        <f t="shared" ref="AB52:AB54" si="19">1.3*K52</f>
        <v>1560</v>
      </c>
      <c r="AC52" s="80" t="s">
        <v>448</v>
      </c>
      <c r="AD52" s="83" t="s">
        <v>472</v>
      </c>
      <c r="AE52" s="83" t="s">
        <v>473</v>
      </c>
      <c r="AF52" s="83" t="s">
        <v>474</v>
      </c>
      <c r="AG52" s="80" t="s">
        <v>449</v>
      </c>
    </row>
    <row r="53" spans="1:33" ht="40.200000000000003">
      <c r="A53" s="55">
        <v>214.81200000000001</v>
      </c>
      <c r="B53" s="40">
        <f t="shared" si="0"/>
        <v>5</v>
      </c>
      <c r="C53" s="58" t="s">
        <v>483</v>
      </c>
      <c r="D53" s="41" t="str">
        <f t="shared" si="1"/>
        <v xml:space="preserve">                              ManipulatorBuilding Basement</v>
      </c>
      <c r="E53" s="41" t="s">
        <v>341</v>
      </c>
      <c r="F53" s="41"/>
      <c r="G53" s="47"/>
      <c r="H53" s="47"/>
      <c r="I53" s="47"/>
      <c r="J53" s="45"/>
      <c r="K53" s="46">
        <f>943.9</f>
        <v>943.9</v>
      </c>
      <c r="L53" s="47" t="s">
        <v>79</v>
      </c>
      <c r="M53" s="58" t="s">
        <v>486</v>
      </c>
      <c r="N53" s="47"/>
      <c r="O53" s="47" t="s">
        <v>81</v>
      </c>
      <c r="P53" s="48"/>
      <c r="Q53" s="68">
        <v>2024</v>
      </c>
      <c r="R53" s="48" t="s">
        <v>77</v>
      </c>
      <c r="S53" s="109"/>
      <c r="T53" s="109"/>
      <c r="U53" s="103"/>
      <c r="V53" s="95"/>
      <c r="W53" s="80" t="s">
        <v>468</v>
      </c>
      <c r="X53" s="84">
        <f t="shared" si="4"/>
        <v>0</v>
      </c>
      <c r="Y53" s="84">
        <f t="shared" si="17"/>
        <v>0</v>
      </c>
      <c r="Z53" s="80" t="s">
        <v>448</v>
      </c>
      <c r="AA53" s="83">
        <f t="shared" si="18"/>
        <v>849.51</v>
      </c>
      <c r="AB53" s="83">
        <f t="shared" si="19"/>
        <v>1227.07</v>
      </c>
      <c r="AC53" s="80" t="s">
        <v>448</v>
      </c>
      <c r="AD53" s="83" t="s">
        <v>472</v>
      </c>
      <c r="AE53" s="83" t="s">
        <v>473</v>
      </c>
      <c r="AF53" s="83" t="s">
        <v>474</v>
      </c>
      <c r="AG53" s="80" t="s">
        <v>449</v>
      </c>
    </row>
    <row r="54" spans="1:33" ht="40.200000000000003">
      <c r="A54" s="55">
        <v>214.81299999999999</v>
      </c>
      <c r="B54" s="40">
        <f t="shared" si="0"/>
        <v>5</v>
      </c>
      <c r="C54" s="58" t="s">
        <v>484</v>
      </c>
      <c r="D54" s="41" t="str">
        <f t="shared" si="1"/>
        <v xml:space="preserve">                              Manipulator Building Exterior Walls</v>
      </c>
      <c r="E54" s="41" t="s">
        <v>341</v>
      </c>
      <c r="F54" s="41"/>
      <c r="G54" s="47"/>
      <c r="H54" s="47"/>
      <c r="I54" s="47"/>
      <c r="J54" s="45"/>
      <c r="K54" s="46">
        <f>721.21</f>
        <v>721.21</v>
      </c>
      <c r="L54" s="47" t="s">
        <v>79</v>
      </c>
      <c r="M54" s="58" t="s">
        <v>487</v>
      </c>
      <c r="N54" s="47"/>
      <c r="O54" s="47" t="s">
        <v>81</v>
      </c>
      <c r="P54" s="48"/>
      <c r="Q54" s="68">
        <v>2024</v>
      </c>
      <c r="R54" s="47" t="s">
        <v>77</v>
      </c>
      <c r="S54" s="110"/>
      <c r="T54" s="110"/>
      <c r="U54" s="104"/>
      <c r="V54" s="96"/>
      <c r="W54" s="80" t="s">
        <v>468</v>
      </c>
      <c r="X54" s="84">
        <f t="shared" si="4"/>
        <v>0</v>
      </c>
      <c r="Y54" s="84">
        <f t="shared" si="17"/>
        <v>0</v>
      </c>
      <c r="Z54" s="80" t="s">
        <v>448</v>
      </c>
      <c r="AA54" s="83">
        <f t="shared" si="18"/>
        <v>649.08900000000006</v>
      </c>
      <c r="AB54" s="83">
        <f t="shared" si="19"/>
        <v>937.57300000000009</v>
      </c>
      <c r="AC54" s="80" t="s">
        <v>448</v>
      </c>
      <c r="AD54" s="83" t="s">
        <v>472</v>
      </c>
      <c r="AE54" s="83" t="s">
        <v>473</v>
      </c>
      <c r="AF54" s="83" t="s">
        <v>474</v>
      </c>
      <c r="AG54" s="80" t="s">
        <v>449</v>
      </c>
    </row>
    <row r="55" spans="1:33">
      <c r="A55" s="55">
        <v>215</v>
      </c>
      <c r="B55" s="40">
        <f t="shared" si="0"/>
        <v>2</v>
      </c>
      <c r="C55" s="58" t="s">
        <v>158</v>
      </c>
      <c r="D55" s="41" t="str">
        <f t="shared" si="1"/>
        <v xml:space="preserve">            Supply Chain Buildings</v>
      </c>
      <c r="E55" s="41"/>
      <c r="F55" s="41"/>
      <c r="G55" s="41"/>
      <c r="H55" s="41"/>
      <c r="I55" s="41"/>
      <c r="J55" s="45"/>
      <c r="K55" s="59"/>
      <c r="L55" s="47"/>
      <c r="M55" s="49"/>
      <c r="N55" s="47"/>
      <c r="O55" s="47"/>
      <c r="P55" s="47"/>
      <c r="Q55" s="68"/>
      <c r="R55" s="47"/>
      <c r="S55" s="49"/>
      <c r="T55" s="49"/>
      <c r="U55" s="60"/>
      <c r="V55" s="51"/>
      <c r="W55" s="80"/>
      <c r="X55" s="84"/>
      <c r="Y55" s="84"/>
      <c r="Z55" s="80"/>
      <c r="AA55" s="83"/>
      <c r="AB55" s="83"/>
      <c r="AC55" s="80"/>
      <c r="AD55" s="83"/>
      <c r="AE55" s="83"/>
      <c r="AF55" s="83"/>
      <c r="AG55" s="80"/>
    </row>
    <row r="56" spans="1:33">
      <c r="A56" s="55">
        <v>215.1</v>
      </c>
      <c r="B56" s="40">
        <f t="shared" si="0"/>
        <v>3</v>
      </c>
      <c r="C56" s="58" t="s">
        <v>160</v>
      </c>
      <c r="D56" s="41" t="str">
        <f t="shared" si="1"/>
        <v xml:space="preserve">                  Storage Building</v>
      </c>
      <c r="E56" s="41"/>
      <c r="F56" s="41"/>
      <c r="G56" s="41"/>
      <c r="H56" s="41"/>
      <c r="I56" s="41"/>
      <c r="J56" s="45"/>
      <c r="K56" s="59"/>
      <c r="L56" s="47"/>
      <c r="M56" s="49"/>
      <c r="N56" s="47"/>
      <c r="O56" s="47"/>
      <c r="P56" s="47"/>
      <c r="Q56" s="68"/>
      <c r="R56" s="47"/>
      <c r="S56" s="49"/>
      <c r="T56" s="49"/>
      <c r="U56" s="60"/>
      <c r="V56" s="51"/>
      <c r="W56" s="80"/>
      <c r="X56" s="84"/>
      <c r="Y56" s="84"/>
      <c r="Z56" s="80"/>
      <c r="AA56" s="83"/>
      <c r="AB56" s="83"/>
      <c r="AC56" s="80"/>
      <c r="AD56" s="83"/>
      <c r="AE56" s="83"/>
      <c r="AF56" s="83"/>
      <c r="AG56" s="80"/>
    </row>
    <row r="57" spans="1:33" ht="27">
      <c r="A57" s="55">
        <v>215.11</v>
      </c>
      <c r="B57" s="40">
        <f t="shared" si="0"/>
        <v>4</v>
      </c>
      <c r="C57" s="58" t="s">
        <v>161</v>
      </c>
      <c r="D57" s="41" t="str">
        <f t="shared" si="1"/>
        <v xml:space="preserve">                        Storage Building Slab Roof</v>
      </c>
      <c r="E57" s="41" t="s">
        <v>341</v>
      </c>
      <c r="F57" s="41"/>
      <c r="G57" s="41"/>
      <c r="H57" s="41"/>
      <c r="I57" s="41"/>
      <c r="J57" s="45"/>
      <c r="K57" s="46">
        <f>1200</f>
        <v>1200</v>
      </c>
      <c r="L57" s="47" t="s">
        <v>79</v>
      </c>
      <c r="M57" s="49" t="s">
        <v>167</v>
      </c>
      <c r="N57" s="47"/>
      <c r="O57" s="47" t="s">
        <v>81</v>
      </c>
      <c r="P57" s="47"/>
      <c r="Q57" s="68">
        <v>2024</v>
      </c>
      <c r="R57" s="47" t="s">
        <v>77</v>
      </c>
      <c r="S57" s="98" t="s">
        <v>549</v>
      </c>
      <c r="T57" s="98" t="s">
        <v>83</v>
      </c>
      <c r="U57" s="99" t="s">
        <v>84</v>
      </c>
      <c r="V57" s="51"/>
      <c r="W57" s="80" t="s">
        <v>468</v>
      </c>
      <c r="X57" s="84">
        <f t="shared" si="4"/>
        <v>0</v>
      </c>
      <c r="Y57" s="84">
        <f t="shared" si="5"/>
        <v>0</v>
      </c>
      <c r="Z57" s="80" t="s">
        <v>448</v>
      </c>
      <c r="AA57" s="83">
        <f t="shared" si="6"/>
        <v>1080</v>
      </c>
      <c r="AB57" s="83">
        <f t="shared" si="7"/>
        <v>1560</v>
      </c>
      <c r="AC57" s="80" t="s">
        <v>448</v>
      </c>
      <c r="AD57" s="83" t="s">
        <v>472</v>
      </c>
      <c r="AE57" s="83" t="s">
        <v>473</v>
      </c>
      <c r="AF57" s="83" t="s">
        <v>474</v>
      </c>
      <c r="AG57" s="80" t="s">
        <v>449</v>
      </c>
    </row>
    <row r="58" spans="1:33" ht="27">
      <c r="A58" s="55">
        <v>215.12</v>
      </c>
      <c r="B58" s="40">
        <f t="shared" si="0"/>
        <v>4</v>
      </c>
      <c r="C58" s="58" t="s">
        <v>162</v>
      </c>
      <c r="D58" s="41" t="str">
        <f t="shared" si="1"/>
        <v xml:space="preserve">                        Storage Building Basement</v>
      </c>
      <c r="E58" s="41" t="s">
        <v>341</v>
      </c>
      <c r="F58" s="41"/>
      <c r="G58" s="41"/>
      <c r="H58" s="41"/>
      <c r="I58" s="41"/>
      <c r="J58" s="45"/>
      <c r="K58" s="46">
        <f>943.9</f>
        <v>943.9</v>
      </c>
      <c r="L58" s="47" t="s">
        <v>79</v>
      </c>
      <c r="M58" s="49" t="s">
        <v>168</v>
      </c>
      <c r="N58" s="47"/>
      <c r="O58" s="47" t="s">
        <v>81</v>
      </c>
      <c r="P58" s="47"/>
      <c r="Q58" s="68">
        <v>2024</v>
      </c>
      <c r="R58" s="47" t="s">
        <v>77</v>
      </c>
      <c r="S58" s="98"/>
      <c r="T58" s="98"/>
      <c r="U58" s="100"/>
      <c r="V58" s="51"/>
      <c r="W58" s="80" t="s">
        <v>468</v>
      </c>
      <c r="X58" s="84">
        <f t="shared" si="4"/>
        <v>0</v>
      </c>
      <c r="Y58" s="84">
        <f t="shared" si="5"/>
        <v>0</v>
      </c>
      <c r="Z58" s="80" t="s">
        <v>448</v>
      </c>
      <c r="AA58" s="83">
        <f t="shared" si="6"/>
        <v>849.51</v>
      </c>
      <c r="AB58" s="83">
        <f t="shared" si="7"/>
        <v>1227.07</v>
      </c>
      <c r="AC58" s="80" t="s">
        <v>448</v>
      </c>
      <c r="AD58" s="83" t="s">
        <v>472</v>
      </c>
      <c r="AE58" s="83" t="s">
        <v>473</v>
      </c>
      <c r="AF58" s="83" t="s">
        <v>474</v>
      </c>
      <c r="AG58" s="80" t="s">
        <v>449</v>
      </c>
    </row>
    <row r="59" spans="1:33" ht="40.200000000000003">
      <c r="A59" s="55">
        <v>215.13</v>
      </c>
      <c r="B59" s="40">
        <f t="shared" si="0"/>
        <v>4</v>
      </c>
      <c r="C59" s="58" t="s">
        <v>163</v>
      </c>
      <c r="D59" s="41" t="str">
        <f t="shared" si="1"/>
        <v xml:space="preserve">                        Storage Building Walls</v>
      </c>
      <c r="E59" s="41" t="s">
        <v>341</v>
      </c>
      <c r="F59" s="41"/>
      <c r="G59" s="41"/>
      <c r="H59" s="41"/>
      <c r="I59" s="41"/>
      <c r="J59" s="45"/>
      <c r="K59" s="46">
        <f>721.21</f>
        <v>721.21</v>
      </c>
      <c r="L59" s="47" t="s">
        <v>79</v>
      </c>
      <c r="M59" s="49" t="s">
        <v>169</v>
      </c>
      <c r="N59" s="47"/>
      <c r="O59" s="47" t="s">
        <v>81</v>
      </c>
      <c r="P59" s="47"/>
      <c r="Q59" s="68">
        <v>2024</v>
      </c>
      <c r="R59" s="47" t="s">
        <v>77</v>
      </c>
      <c r="S59" s="98"/>
      <c r="T59" s="98"/>
      <c r="U59" s="100"/>
      <c r="V59" s="51"/>
      <c r="W59" s="80" t="s">
        <v>468</v>
      </c>
      <c r="X59" s="84">
        <f t="shared" si="4"/>
        <v>0</v>
      </c>
      <c r="Y59" s="84">
        <f t="shared" si="5"/>
        <v>0</v>
      </c>
      <c r="Z59" s="80" t="s">
        <v>448</v>
      </c>
      <c r="AA59" s="83">
        <f t="shared" si="6"/>
        <v>649.08900000000006</v>
      </c>
      <c r="AB59" s="83">
        <f t="shared" si="7"/>
        <v>937.57300000000009</v>
      </c>
      <c r="AC59" s="80" t="s">
        <v>448</v>
      </c>
      <c r="AD59" s="83" t="s">
        <v>472</v>
      </c>
      <c r="AE59" s="83" t="s">
        <v>473</v>
      </c>
      <c r="AF59" s="83" t="s">
        <v>474</v>
      </c>
      <c r="AG59" s="80" t="s">
        <v>449</v>
      </c>
    </row>
    <row r="60" spans="1:33">
      <c r="A60" s="55">
        <v>215.4</v>
      </c>
      <c r="B60" s="40">
        <f t="shared" si="0"/>
        <v>3</v>
      </c>
      <c r="C60" s="58" t="s">
        <v>159</v>
      </c>
      <c r="D60" s="41" t="str">
        <f t="shared" si="1"/>
        <v xml:space="preserve">                  Radwaste Building</v>
      </c>
      <c r="E60" s="41"/>
      <c r="F60" s="41"/>
      <c r="G60" s="41"/>
      <c r="H60" s="41"/>
      <c r="I60" s="41"/>
      <c r="J60" s="45"/>
      <c r="K60" s="59"/>
      <c r="L60" s="47"/>
      <c r="M60" s="49"/>
      <c r="N60" s="47"/>
      <c r="O60" s="47"/>
      <c r="P60" s="47"/>
      <c r="Q60" s="68"/>
      <c r="R60" s="47"/>
      <c r="S60" s="49"/>
      <c r="T60" s="49"/>
      <c r="U60" s="60"/>
      <c r="V60" s="51"/>
      <c r="W60" s="80"/>
      <c r="X60" s="84"/>
      <c r="Y60" s="84"/>
      <c r="Z60" s="80"/>
      <c r="AA60" s="83"/>
      <c r="AB60" s="83"/>
      <c r="AC60" s="80"/>
      <c r="AD60" s="83"/>
      <c r="AE60" s="83"/>
      <c r="AF60" s="83"/>
      <c r="AG60" s="80"/>
    </row>
    <row r="61" spans="1:33" ht="27">
      <c r="A61" s="55">
        <v>215.41</v>
      </c>
      <c r="B61" s="40">
        <f t="shared" si="0"/>
        <v>4</v>
      </c>
      <c r="C61" s="58" t="s">
        <v>165</v>
      </c>
      <c r="D61" s="41" t="str">
        <f t="shared" si="1"/>
        <v xml:space="preserve">                        Radwaste Building Slab Roof</v>
      </c>
      <c r="E61" s="41" t="s">
        <v>341</v>
      </c>
      <c r="F61" s="41"/>
      <c r="G61" s="41"/>
      <c r="H61" s="41"/>
      <c r="I61" s="41"/>
      <c r="J61" s="45"/>
      <c r="K61" s="46">
        <f>1200 *1.53</f>
        <v>1836</v>
      </c>
      <c r="L61" s="47" t="s">
        <v>79</v>
      </c>
      <c r="M61" s="49" t="s">
        <v>170</v>
      </c>
      <c r="N61" s="47"/>
      <c r="O61" s="47" t="s">
        <v>81</v>
      </c>
      <c r="P61" s="47"/>
      <c r="Q61" s="68">
        <v>2024</v>
      </c>
      <c r="R61" s="47" t="s">
        <v>77</v>
      </c>
      <c r="S61" s="98" t="s">
        <v>82</v>
      </c>
      <c r="T61" s="98" t="s">
        <v>83</v>
      </c>
      <c r="U61" s="99" t="s">
        <v>84</v>
      </c>
      <c r="V61" s="51"/>
      <c r="W61" s="80" t="s">
        <v>468</v>
      </c>
      <c r="X61" s="84">
        <f t="shared" si="4"/>
        <v>0</v>
      </c>
      <c r="Y61" s="84">
        <f t="shared" si="5"/>
        <v>0</v>
      </c>
      <c r="Z61" s="80" t="s">
        <v>448</v>
      </c>
      <c r="AA61" s="83">
        <f t="shared" si="6"/>
        <v>1652.4</v>
      </c>
      <c r="AB61" s="83">
        <f t="shared" si="7"/>
        <v>2386.8000000000002</v>
      </c>
      <c r="AC61" s="80" t="s">
        <v>448</v>
      </c>
      <c r="AD61" s="83" t="s">
        <v>472</v>
      </c>
      <c r="AE61" s="83" t="s">
        <v>473</v>
      </c>
      <c r="AF61" s="83" t="s">
        <v>474</v>
      </c>
      <c r="AG61" s="80" t="s">
        <v>449</v>
      </c>
    </row>
    <row r="62" spans="1:33" ht="27">
      <c r="A62" s="55">
        <v>215.42</v>
      </c>
      <c r="B62" s="40">
        <f t="shared" si="0"/>
        <v>4</v>
      </c>
      <c r="C62" s="58" t="s">
        <v>164</v>
      </c>
      <c r="D62" s="41" t="str">
        <f t="shared" si="1"/>
        <v xml:space="preserve">                        Radwaste Building Basement</v>
      </c>
      <c r="E62" s="41" t="s">
        <v>341</v>
      </c>
      <c r="F62" s="41"/>
      <c r="G62" s="41"/>
      <c r="H62" s="41"/>
      <c r="I62" s="41"/>
      <c r="J62" s="45"/>
      <c r="K62" s="46">
        <f>943.9*1.53</f>
        <v>1444.1669999999999</v>
      </c>
      <c r="L62" s="47" t="s">
        <v>79</v>
      </c>
      <c r="M62" s="49" t="s">
        <v>171</v>
      </c>
      <c r="N62" s="47"/>
      <c r="O62" s="47" t="s">
        <v>81</v>
      </c>
      <c r="P62" s="47"/>
      <c r="Q62" s="68">
        <v>2024</v>
      </c>
      <c r="R62" s="47" t="s">
        <v>77</v>
      </c>
      <c r="S62" s="98"/>
      <c r="T62" s="98"/>
      <c r="U62" s="100"/>
      <c r="V62" s="51"/>
      <c r="W62" s="80" t="s">
        <v>468</v>
      </c>
      <c r="X62" s="84">
        <f t="shared" si="4"/>
        <v>0</v>
      </c>
      <c r="Y62" s="84">
        <f t="shared" si="5"/>
        <v>0</v>
      </c>
      <c r="Z62" s="80" t="s">
        <v>448</v>
      </c>
      <c r="AA62" s="83">
        <f t="shared" si="6"/>
        <v>1299.7502999999999</v>
      </c>
      <c r="AB62" s="83">
        <f t="shared" si="7"/>
        <v>1877.4170999999999</v>
      </c>
      <c r="AC62" s="80" t="s">
        <v>448</v>
      </c>
      <c r="AD62" s="83" t="s">
        <v>472</v>
      </c>
      <c r="AE62" s="83" t="s">
        <v>473</v>
      </c>
      <c r="AF62" s="83" t="s">
        <v>474</v>
      </c>
      <c r="AG62" s="80" t="s">
        <v>449</v>
      </c>
    </row>
    <row r="63" spans="1:33" ht="40.200000000000003">
      <c r="A63" s="55">
        <v>215.43</v>
      </c>
      <c r="B63" s="40">
        <f t="shared" si="0"/>
        <v>4</v>
      </c>
      <c r="C63" s="58" t="s">
        <v>166</v>
      </c>
      <c r="D63" s="41" t="str">
        <f t="shared" si="1"/>
        <v xml:space="preserve">                        Radwaste Building Walls</v>
      </c>
      <c r="E63" s="41" t="s">
        <v>341</v>
      </c>
      <c r="F63" s="41"/>
      <c r="G63" s="41"/>
      <c r="H63" s="41"/>
      <c r="I63" s="41"/>
      <c r="J63" s="45"/>
      <c r="K63" s="46">
        <f>721.21*1.53</f>
        <v>1103.4513000000002</v>
      </c>
      <c r="L63" s="47" t="s">
        <v>79</v>
      </c>
      <c r="M63" s="49" t="s">
        <v>172</v>
      </c>
      <c r="N63" s="47"/>
      <c r="O63" s="47" t="s">
        <v>81</v>
      </c>
      <c r="P63" s="47"/>
      <c r="Q63" s="68">
        <v>2024</v>
      </c>
      <c r="R63" s="47" t="s">
        <v>77</v>
      </c>
      <c r="S63" s="98"/>
      <c r="T63" s="98"/>
      <c r="U63" s="100"/>
      <c r="V63" s="51"/>
      <c r="W63" s="80" t="s">
        <v>468</v>
      </c>
      <c r="X63" s="84">
        <f t="shared" si="4"/>
        <v>0</v>
      </c>
      <c r="Y63" s="84">
        <f t="shared" si="5"/>
        <v>0</v>
      </c>
      <c r="Z63" s="80" t="s">
        <v>448</v>
      </c>
      <c r="AA63" s="83">
        <f t="shared" si="6"/>
        <v>993.10617000000013</v>
      </c>
      <c r="AB63" s="83">
        <f t="shared" si="7"/>
        <v>1434.4866900000002</v>
      </c>
      <c r="AC63" s="80" t="s">
        <v>448</v>
      </c>
      <c r="AD63" s="83" t="s">
        <v>472</v>
      </c>
      <c r="AE63" s="83" t="s">
        <v>473</v>
      </c>
      <c r="AF63" s="83" t="s">
        <v>474</v>
      </c>
      <c r="AG63" s="80" t="s">
        <v>449</v>
      </c>
    </row>
    <row r="64" spans="1:33">
      <c r="A64" s="39">
        <v>22</v>
      </c>
      <c r="B64" s="40">
        <f t="shared" si="0"/>
        <v>1</v>
      </c>
      <c r="C64" s="58" t="s">
        <v>10</v>
      </c>
      <c r="D64" s="41" t="str">
        <f t="shared" si="1"/>
        <v xml:space="preserve">      Reactor System</v>
      </c>
      <c r="E64" s="41"/>
      <c r="F64" s="41"/>
      <c r="G64" s="41"/>
      <c r="H64" s="41"/>
      <c r="I64" s="41"/>
      <c r="J64" s="45"/>
      <c r="K64" s="46"/>
      <c r="L64" s="48"/>
      <c r="M64" s="61"/>
      <c r="N64" s="51"/>
      <c r="O64" s="51"/>
      <c r="P64" s="51"/>
      <c r="Q64" s="68"/>
      <c r="R64" s="51"/>
      <c r="S64" s="61"/>
      <c r="T64" s="51"/>
      <c r="U64" s="51"/>
      <c r="V64" s="51"/>
      <c r="W64" s="80"/>
      <c r="X64" s="84"/>
      <c r="Y64" s="84"/>
      <c r="Z64" s="80"/>
      <c r="AA64" s="83"/>
      <c r="AB64" s="83"/>
      <c r="AC64" s="80"/>
      <c r="AD64" s="83"/>
      <c r="AE64" s="83"/>
      <c r="AF64" s="83"/>
      <c r="AG64" s="80"/>
    </row>
    <row r="65" spans="1:33">
      <c r="A65" s="55">
        <v>221</v>
      </c>
      <c r="B65" s="40">
        <f t="shared" si="0"/>
        <v>2</v>
      </c>
      <c r="C65" s="58" t="s">
        <v>11</v>
      </c>
      <c r="D65" s="41" t="str">
        <f t="shared" si="1"/>
        <v xml:space="preserve">            Reactor Components</v>
      </c>
      <c r="E65" s="41"/>
      <c r="F65" s="41"/>
      <c r="G65" s="41"/>
      <c r="H65" s="41"/>
      <c r="I65" s="41"/>
      <c r="J65" s="45"/>
      <c r="K65" s="46"/>
      <c r="L65" s="48"/>
      <c r="M65" s="61"/>
      <c r="N65" s="51"/>
      <c r="O65" s="51"/>
      <c r="P65" s="51"/>
      <c r="Q65" s="68"/>
      <c r="R65" s="51"/>
      <c r="S65" s="61"/>
      <c r="T65" s="51"/>
      <c r="U65" s="51"/>
      <c r="V65" s="51"/>
      <c r="W65" s="80"/>
      <c r="X65" s="84"/>
      <c r="Y65" s="84"/>
      <c r="Z65" s="80"/>
      <c r="AA65" s="83"/>
      <c r="AB65" s="83"/>
      <c r="AC65" s="80"/>
      <c r="AD65" s="83"/>
      <c r="AE65" s="83"/>
      <c r="AF65" s="83"/>
      <c r="AG65" s="80"/>
    </row>
    <row r="66" spans="1:33" ht="30" customHeight="1">
      <c r="A66" s="55">
        <v>221.1</v>
      </c>
      <c r="B66" s="40">
        <f t="shared" si="0"/>
        <v>3</v>
      </c>
      <c r="C66" s="58" t="s">
        <v>127</v>
      </c>
      <c r="D66" s="41" t="str">
        <f t="shared" si="1"/>
        <v xml:space="preserve">                  Reactor Vessel and Accessories</v>
      </c>
      <c r="E66" s="41"/>
      <c r="F66" s="41"/>
      <c r="G66" s="41"/>
      <c r="H66" s="41"/>
      <c r="I66" s="41"/>
      <c r="J66" s="45"/>
      <c r="K66" s="62"/>
      <c r="L66" s="51"/>
      <c r="M66" s="61"/>
      <c r="N66" s="51"/>
      <c r="O66" s="51"/>
      <c r="P66" s="51"/>
      <c r="Q66" s="68"/>
      <c r="R66" s="51"/>
      <c r="S66" s="61"/>
      <c r="T66" s="51"/>
      <c r="U66" s="51"/>
      <c r="V66" s="51"/>
      <c r="W66" s="80"/>
      <c r="X66" s="84"/>
      <c r="Y66" s="84"/>
      <c r="Z66" s="80"/>
      <c r="AA66" s="83"/>
      <c r="AB66" s="83"/>
      <c r="AC66" s="80"/>
      <c r="AD66" s="83"/>
      <c r="AE66" s="83"/>
      <c r="AF66" s="83"/>
      <c r="AG66" s="80"/>
    </row>
    <row r="67" spans="1:33" ht="63" customHeight="1">
      <c r="A67" s="55">
        <v>221.11</v>
      </c>
      <c r="B67" s="40">
        <f t="shared" si="0"/>
        <v>4</v>
      </c>
      <c r="C67" s="58" t="s">
        <v>128</v>
      </c>
      <c r="D67" s="41" t="str">
        <f t="shared" si="1"/>
        <v xml:space="preserve">                        Reactor Support</v>
      </c>
      <c r="E67" s="41" t="s">
        <v>341</v>
      </c>
      <c r="F67" s="41"/>
      <c r="G67" s="41"/>
      <c r="H67" s="41"/>
      <c r="I67" s="41"/>
      <c r="J67" s="45"/>
      <c r="K67" s="63">
        <f>MARVEL_Cost!C16/N67</f>
        <v>311.55798937474458</v>
      </c>
      <c r="L67" s="51" t="s">
        <v>174</v>
      </c>
      <c r="M67" s="61" t="s">
        <v>329</v>
      </c>
      <c r="N67" s="51">
        <f>1000*('Design Variables'!B52+'Design Variables'!B49)</f>
        <v>2447</v>
      </c>
      <c r="O67" s="51" t="s">
        <v>173</v>
      </c>
      <c r="P67" s="51">
        <v>0.85</v>
      </c>
      <c r="Q67" s="68">
        <v>2018</v>
      </c>
      <c r="R67" s="51" t="s">
        <v>77</v>
      </c>
      <c r="S67" s="61" t="s">
        <v>396</v>
      </c>
      <c r="T67" s="61"/>
      <c r="U67" s="58"/>
      <c r="V67" s="61" t="s">
        <v>178</v>
      </c>
      <c r="W67" s="80" t="s">
        <v>469</v>
      </c>
      <c r="X67" s="84">
        <f t="shared" si="4"/>
        <v>0</v>
      </c>
      <c r="Y67" s="84">
        <f t="shared" si="5"/>
        <v>0</v>
      </c>
      <c r="Z67" s="80" t="s">
        <v>448</v>
      </c>
      <c r="AA67" s="83">
        <f t="shared" si="6"/>
        <v>280.40219043727012</v>
      </c>
      <c r="AB67" s="83">
        <f t="shared" si="7"/>
        <v>405.02538618716795</v>
      </c>
      <c r="AC67" s="80" t="s">
        <v>448</v>
      </c>
      <c r="AD67" s="83" t="s">
        <v>472</v>
      </c>
      <c r="AE67" s="83" t="s">
        <v>473</v>
      </c>
      <c r="AF67" s="83" t="s">
        <v>474</v>
      </c>
      <c r="AG67" s="80" t="s">
        <v>449</v>
      </c>
    </row>
    <row r="68" spans="1:33" ht="30" customHeight="1">
      <c r="A68" s="55">
        <v>221.12</v>
      </c>
      <c r="B68" s="40">
        <f t="shared" si="0"/>
        <v>4</v>
      </c>
      <c r="C68" s="58" t="s">
        <v>129</v>
      </c>
      <c r="D68" s="41" t="str">
        <f t="shared" si="1"/>
        <v xml:space="preserve">                        Outer Vessel Structure</v>
      </c>
      <c r="E68" s="41" t="s">
        <v>341</v>
      </c>
      <c r="F68" s="41" t="s">
        <v>495</v>
      </c>
      <c r="G68" s="41" t="s">
        <v>436</v>
      </c>
      <c r="H68" s="41"/>
      <c r="I68" s="41"/>
      <c r="J68" s="45"/>
      <c r="K68" s="63">
        <f>MARVEL_Cost!C17/N68</f>
        <v>757.20768746061754</v>
      </c>
      <c r="L68" s="51" t="s">
        <v>174</v>
      </c>
      <c r="M68" s="61" t="s">
        <v>180</v>
      </c>
      <c r="N68" s="64">
        <f>'Design Variables'!B52*1000</f>
        <v>1587</v>
      </c>
      <c r="O68" s="51" t="s">
        <v>173</v>
      </c>
      <c r="P68" s="51"/>
      <c r="Q68" s="68">
        <v>2017</v>
      </c>
      <c r="R68" s="51" t="s">
        <v>77</v>
      </c>
      <c r="S68" s="61" t="s">
        <v>397</v>
      </c>
      <c r="T68" s="97" t="s">
        <v>350</v>
      </c>
      <c r="U68" s="58"/>
      <c r="V68" s="51"/>
      <c r="W68" s="80" t="s">
        <v>469</v>
      </c>
      <c r="X68" s="84">
        <f t="shared" si="4"/>
        <v>0</v>
      </c>
      <c r="Y68" s="84">
        <f t="shared" si="5"/>
        <v>0</v>
      </c>
      <c r="Z68" s="80" t="s">
        <v>448</v>
      </c>
      <c r="AA68" s="83">
        <f t="shared" si="6"/>
        <v>681.48691871455583</v>
      </c>
      <c r="AB68" s="83">
        <f t="shared" si="7"/>
        <v>984.36999369880277</v>
      </c>
      <c r="AC68" s="80" t="s">
        <v>448</v>
      </c>
      <c r="AD68" s="83" t="s">
        <v>472</v>
      </c>
      <c r="AE68" s="83" t="s">
        <v>473</v>
      </c>
      <c r="AF68" s="83" t="s">
        <v>474</v>
      </c>
      <c r="AG68" s="80" t="s">
        <v>449</v>
      </c>
    </row>
    <row r="69" spans="1:33" ht="30" customHeight="1">
      <c r="A69" s="55">
        <v>221.12</v>
      </c>
      <c r="B69" s="40">
        <f t="shared" si="0"/>
        <v>4</v>
      </c>
      <c r="C69" s="58" t="s">
        <v>129</v>
      </c>
      <c r="D69" s="41" t="str">
        <f t="shared" si="1"/>
        <v xml:space="preserve">                        Outer Vessel Structure</v>
      </c>
      <c r="E69" s="41" t="s">
        <v>341</v>
      </c>
      <c r="F69" s="41" t="s">
        <v>495</v>
      </c>
      <c r="G69" s="41" t="s">
        <v>437</v>
      </c>
      <c r="H69" s="41"/>
      <c r="I69" s="41"/>
      <c r="J69" s="45"/>
      <c r="K69" s="63">
        <v>154.08000000000001</v>
      </c>
      <c r="L69" s="51" t="s">
        <v>174</v>
      </c>
      <c r="M69" s="61" t="s">
        <v>180</v>
      </c>
      <c r="N69" s="64"/>
      <c r="O69" s="51"/>
      <c r="P69" s="51"/>
      <c r="Q69" s="68">
        <v>2017</v>
      </c>
      <c r="R69" s="51" t="s">
        <v>77</v>
      </c>
      <c r="S69" s="61" t="s">
        <v>397</v>
      </c>
      <c r="T69" s="97"/>
      <c r="U69" s="58"/>
      <c r="V69" s="51"/>
      <c r="W69" s="80" t="s">
        <v>469</v>
      </c>
      <c r="X69" s="84">
        <f t="shared" si="4"/>
        <v>0</v>
      </c>
      <c r="Y69" s="84">
        <f t="shared" si="5"/>
        <v>0</v>
      </c>
      <c r="Z69" s="80" t="s">
        <v>448</v>
      </c>
      <c r="AA69" s="83">
        <f t="shared" si="6"/>
        <v>138.67200000000003</v>
      </c>
      <c r="AB69" s="83">
        <f t="shared" si="7"/>
        <v>200.30400000000003</v>
      </c>
      <c r="AC69" s="80" t="s">
        <v>448</v>
      </c>
      <c r="AD69" s="83" t="s">
        <v>472</v>
      </c>
      <c r="AE69" s="83" t="s">
        <v>473</v>
      </c>
      <c r="AF69" s="83" t="s">
        <v>474</v>
      </c>
      <c r="AG69" s="80" t="s">
        <v>449</v>
      </c>
    </row>
    <row r="70" spans="1:33" ht="30" customHeight="1">
      <c r="A70" s="55">
        <v>221.12</v>
      </c>
      <c r="B70" s="40">
        <f t="shared" ref="B70" si="20">IF(ISNUMBER(A70),
    IF(AND(A70=INT(A70), MOD(A70, 10) = 0), 0,
        IF(AND(A70=INT(A70), LEN(A70)=2), 1,
            IF(AND(A70=INT(A70), LEN(A70)=3), 2,
                LEN(A70) - FIND(".", A70) + 2)
        )
    ),
"")</f>
        <v>4</v>
      </c>
      <c r="C70" s="58" t="s">
        <v>129</v>
      </c>
      <c r="D70" s="41" t="str">
        <f t="shared" ref="D70" si="21">REPT("   ", B70*2) &amp; C70</f>
        <v xml:space="preserve">                        Outer Vessel Structure</v>
      </c>
      <c r="E70" s="41" t="s">
        <v>341</v>
      </c>
      <c r="F70" s="41" t="s">
        <v>495</v>
      </c>
      <c r="G70" s="41" t="s">
        <v>438</v>
      </c>
      <c r="H70" s="41"/>
      <c r="I70" s="41"/>
      <c r="J70" s="45"/>
      <c r="K70" s="63">
        <v>444.08</v>
      </c>
      <c r="L70" s="51" t="s">
        <v>174</v>
      </c>
      <c r="M70" s="61" t="s">
        <v>180</v>
      </c>
      <c r="N70" s="64"/>
      <c r="O70" s="51"/>
      <c r="P70" s="51"/>
      <c r="Q70" s="68">
        <v>2017</v>
      </c>
      <c r="R70" s="51" t="s">
        <v>77</v>
      </c>
      <c r="S70" s="61" t="s">
        <v>397</v>
      </c>
      <c r="T70" s="97"/>
      <c r="U70" s="58"/>
      <c r="V70" s="51"/>
      <c r="W70" s="80" t="s">
        <v>469</v>
      </c>
      <c r="X70" s="84">
        <f t="shared" si="4"/>
        <v>0</v>
      </c>
      <c r="Y70" s="84">
        <f t="shared" si="5"/>
        <v>0</v>
      </c>
      <c r="Z70" s="80" t="s">
        <v>448</v>
      </c>
      <c r="AA70" s="83">
        <f t="shared" si="6"/>
        <v>399.67199999999997</v>
      </c>
      <c r="AB70" s="83">
        <f t="shared" si="7"/>
        <v>577.30399999999997</v>
      </c>
      <c r="AC70" s="80" t="s">
        <v>448</v>
      </c>
      <c r="AD70" s="83" t="s">
        <v>472</v>
      </c>
      <c r="AE70" s="83" t="s">
        <v>473</v>
      </c>
      <c r="AF70" s="83" t="s">
        <v>474</v>
      </c>
      <c r="AG70" s="80" t="s">
        <v>449</v>
      </c>
    </row>
    <row r="71" spans="1:33" ht="30" customHeight="1">
      <c r="A71" s="55">
        <v>221.13</v>
      </c>
      <c r="B71" s="40">
        <f t="shared" si="0"/>
        <v>4</v>
      </c>
      <c r="C71" s="58" t="s">
        <v>130</v>
      </c>
      <c r="D71" s="41" t="str">
        <f t="shared" si="1"/>
        <v xml:space="preserve">                        Inner Vessel Structure</v>
      </c>
      <c r="E71" s="41" t="s">
        <v>341</v>
      </c>
      <c r="F71" s="41" t="s">
        <v>496</v>
      </c>
      <c r="G71" s="41" t="s">
        <v>436</v>
      </c>
      <c r="H71" s="41"/>
      <c r="I71" s="41"/>
      <c r="J71" s="45">
        <f>MARVEL_Cost!C37+MARVEL_Cost!C36</f>
        <v>3369444.6</v>
      </c>
      <c r="K71" s="63">
        <f>(MARVEL_Cost!C35)/N71</f>
        <v>1768.3558139534885</v>
      </c>
      <c r="L71" s="51" t="s">
        <v>174</v>
      </c>
      <c r="M71" s="61" t="s">
        <v>177</v>
      </c>
      <c r="N71" s="51">
        <f>1000*'Design Variables'!B49</f>
        <v>860</v>
      </c>
      <c r="O71" s="51"/>
      <c r="P71" s="51"/>
      <c r="Q71" s="68">
        <v>2017</v>
      </c>
      <c r="R71" s="51" t="s">
        <v>77</v>
      </c>
      <c r="S71" s="61" t="s">
        <v>397</v>
      </c>
      <c r="T71" s="97"/>
      <c r="U71" s="58"/>
      <c r="V71" s="61" t="s">
        <v>179</v>
      </c>
      <c r="W71" s="80" t="s">
        <v>469</v>
      </c>
      <c r="X71" s="84">
        <f t="shared" si="4"/>
        <v>3032500.14</v>
      </c>
      <c r="Y71" s="84">
        <f t="shared" si="5"/>
        <v>5054166.9000000004</v>
      </c>
      <c r="Z71" s="80" t="s">
        <v>448</v>
      </c>
      <c r="AA71" s="83">
        <f t="shared" si="6"/>
        <v>1591.5202325581397</v>
      </c>
      <c r="AB71" s="83">
        <f t="shared" si="7"/>
        <v>2298.8625581395349</v>
      </c>
      <c r="AC71" s="80" t="s">
        <v>448</v>
      </c>
      <c r="AD71" s="83" t="s">
        <v>472</v>
      </c>
      <c r="AE71" s="83" t="s">
        <v>473</v>
      </c>
      <c r="AF71" s="83" t="s">
        <v>474</v>
      </c>
      <c r="AG71" s="80" t="s">
        <v>449</v>
      </c>
    </row>
    <row r="72" spans="1:33" ht="30" customHeight="1">
      <c r="A72" s="55">
        <v>221.13</v>
      </c>
      <c r="B72" s="40">
        <f t="shared" si="0"/>
        <v>4</v>
      </c>
      <c r="C72" s="58" t="s">
        <v>130</v>
      </c>
      <c r="D72" s="41" t="str">
        <f t="shared" si="1"/>
        <v xml:space="preserve">                        Inner Vessel Structure</v>
      </c>
      <c r="E72" s="41" t="s">
        <v>341</v>
      </c>
      <c r="F72" s="41" t="s">
        <v>496</v>
      </c>
      <c r="G72" s="41" t="s">
        <v>437</v>
      </c>
      <c r="H72" s="41"/>
      <c r="I72" s="41"/>
      <c r="J72" s="45"/>
      <c r="K72" s="63">
        <v>154.08000000000001</v>
      </c>
      <c r="L72" s="51" t="s">
        <v>174</v>
      </c>
      <c r="M72" s="61" t="s">
        <v>177</v>
      </c>
      <c r="N72" s="51"/>
      <c r="O72" s="51"/>
      <c r="P72" s="51"/>
      <c r="Q72" s="68">
        <v>2017</v>
      </c>
      <c r="R72" s="51" t="s">
        <v>77</v>
      </c>
      <c r="S72" s="61" t="s">
        <v>397</v>
      </c>
      <c r="T72" s="97"/>
      <c r="U72" s="58"/>
      <c r="V72" s="61"/>
      <c r="W72" s="80" t="s">
        <v>469</v>
      </c>
      <c r="X72" s="84">
        <f t="shared" si="4"/>
        <v>0</v>
      </c>
      <c r="Y72" s="84">
        <f t="shared" si="5"/>
        <v>0</v>
      </c>
      <c r="Z72" s="80" t="s">
        <v>448</v>
      </c>
      <c r="AA72" s="83">
        <f t="shared" si="6"/>
        <v>138.67200000000003</v>
      </c>
      <c r="AB72" s="83">
        <f t="shared" si="7"/>
        <v>200.30400000000003</v>
      </c>
      <c r="AC72" s="80" t="s">
        <v>448</v>
      </c>
      <c r="AD72" s="83" t="s">
        <v>472</v>
      </c>
      <c r="AE72" s="83" t="s">
        <v>473</v>
      </c>
      <c r="AF72" s="83" t="s">
        <v>474</v>
      </c>
      <c r="AG72" s="80" t="s">
        <v>449</v>
      </c>
    </row>
    <row r="73" spans="1:33" ht="30" customHeight="1">
      <c r="A73" s="55">
        <v>221.13</v>
      </c>
      <c r="B73" s="40">
        <f t="shared" ref="B73" si="22">IF(ISNUMBER(A73),
    IF(AND(A73=INT(A73), MOD(A73, 10) = 0), 0,
        IF(AND(A73=INT(A73), LEN(A73)=2), 1,
            IF(AND(A73=INT(A73), LEN(A73)=3), 2,
                LEN(A73) - FIND(".", A73) + 2)
        )
    ),
"")</f>
        <v>4</v>
      </c>
      <c r="C73" s="58" t="s">
        <v>130</v>
      </c>
      <c r="D73" s="41" t="str">
        <f t="shared" ref="D73" si="23">REPT("   ", B73*2) &amp; C73</f>
        <v xml:space="preserve">                        Inner Vessel Structure</v>
      </c>
      <c r="E73" s="41" t="s">
        <v>341</v>
      </c>
      <c r="F73" s="41" t="s">
        <v>496</v>
      </c>
      <c r="G73" s="41" t="s">
        <v>438</v>
      </c>
      <c r="H73" s="41"/>
      <c r="I73" s="41"/>
      <c r="J73" s="45"/>
      <c r="K73" s="63">
        <v>444.08</v>
      </c>
      <c r="L73" s="51" t="s">
        <v>174</v>
      </c>
      <c r="M73" s="61" t="s">
        <v>177</v>
      </c>
      <c r="N73" s="51"/>
      <c r="O73" s="51"/>
      <c r="P73" s="51"/>
      <c r="Q73" s="68">
        <v>2017</v>
      </c>
      <c r="R73" s="51" t="s">
        <v>77</v>
      </c>
      <c r="S73" s="61" t="s">
        <v>397</v>
      </c>
      <c r="T73" s="97"/>
      <c r="U73" s="58"/>
      <c r="V73" s="61"/>
      <c r="W73" s="80" t="s">
        <v>469</v>
      </c>
      <c r="X73" s="84">
        <f t="shared" si="4"/>
        <v>0</v>
      </c>
      <c r="Y73" s="84">
        <f t="shared" si="5"/>
        <v>0</v>
      </c>
      <c r="Z73" s="80" t="s">
        <v>448</v>
      </c>
      <c r="AA73" s="83">
        <f t="shared" si="6"/>
        <v>399.67199999999997</v>
      </c>
      <c r="AB73" s="83">
        <f t="shared" si="7"/>
        <v>577.30399999999997</v>
      </c>
      <c r="AC73" s="80" t="s">
        <v>448</v>
      </c>
      <c r="AD73" s="83" t="s">
        <v>472</v>
      </c>
      <c r="AE73" s="83" t="s">
        <v>473</v>
      </c>
      <c r="AF73" s="83" t="s">
        <v>474</v>
      </c>
      <c r="AG73" s="80" t="s">
        <v>449</v>
      </c>
    </row>
    <row r="74" spans="1:33" ht="30" customHeight="1">
      <c r="A74" s="55">
        <v>221.2</v>
      </c>
      <c r="B74" s="40">
        <f t="shared" si="0"/>
        <v>3</v>
      </c>
      <c r="C74" s="58" t="s">
        <v>131</v>
      </c>
      <c r="D74" s="41" t="str">
        <f t="shared" si="1"/>
        <v xml:space="preserve">                  Reactor Control Devices</v>
      </c>
      <c r="E74" s="41"/>
      <c r="F74" s="41"/>
      <c r="G74" s="41"/>
      <c r="H74" s="41"/>
      <c r="I74" s="41"/>
      <c r="J74" s="45"/>
      <c r="K74" s="63"/>
      <c r="L74" s="51"/>
      <c r="M74" s="61"/>
      <c r="N74" s="51"/>
      <c r="O74" s="51"/>
      <c r="P74" s="51"/>
      <c r="Q74" s="68"/>
      <c r="R74" s="51"/>
      <c r="S74" s="61"/>
      <c r="T74" s="51"/>
      <c r="U74" s="51"/>
      <c r="V74" s="51"/>
      <c r="W74" s="80"/>
      <c r="X74" s="84"/>
      <c r="Y74" s="84"/>
      <c r="Z74" s="80"/>
      <c r="AA74" s="83"/>
      <c r="AB74" s="83"/>
      <c r="AC74" s="80"/>
      <c r="AD74" s="83"/>
      <c r="AE74" s="83"/>
      <c r="AF74" s="83"/>
      <c r="AG74" s="80"/>
    </row>
    <row r="75" spans="1:33" ht="30" customHeight="1">
      <c r="A75" s="55">
        <v>221.21</v>
      </c>
      <c r="B75" s="40">
        <f t="shared" si="0"/>
        <v>4</v>
      </c>
      <c r="C75" s="58" t="s">
        <v>132</v>
      </c>
      <c r="D75" s="41" t="str">
        <f t="shared" si="1"/>
        <v xml:space="preserve">                        Reactivity Control System </v>
      </c>
      <c r="E75" s="41"/>
      <c r="F75" s="41"/>
      <c r="G75" s="41"/>
      <c r="H75" s="41"/>
      <c r="I75" s="41"/>
      <c r="J75" s="45"/>
      <c r="K75" s="63"/>
      <c r="L75" s="51"/>
      <c r="M75" s="61"/>
      <c r="N75" s="51"/>
      <c r="O75" s="51"/>
      <c r="P75" s="51"/>
      <c r="Q75" s="68"/>
      <c r="R75" s="51"/>
      <c r="S75" s="61"/>
      <c r="T75" s="51"/>
      <c r="U75" s="51"/>
      <c r="V75" s="51"/>
      <c r="W75" s="80"/>
      <c r="X75" s="84"/>
      <c r="Y75" s="84"/>
      <c r="Z75" s="80"/>
      <c r="AA75" s="83"/>
      <c r="AB75" s="83"/>
      <c r="AC75" s="80"/>
      <c r="AD75" s="83"/>
      <c r="AE75" s="83"/>
      <c r="AF75" s="83"/>
      <c r="AG75" s="80"/>
    </row>
    <row r="76" spans="1:33" s="35" customFormat="1" ht="52.8">
      <c r="A76" s="55">
        <v>221.21100000000001</v>
      </c>
      <c r="B76" s="40">
        <f t="shared" si="0"/>
        <v>5</v>
      </c>
      <c r="C76" s="58" t="s">
        <v>12</v>
      </c>
      <c r="D76" s="41" t="str">
        <f t="shared" si="1"/>
        <v xml:space="preserve">                              Reactivity Control System Fabrication</v>
      </c>
      <c r="E76" s="41" t="s">
        <v>341</v>
      </c>
      <c r="F76" s="41"/>
      <c r="G76" s="41"/>
      <c r="H76" s="41"/>
      <c r="I76" s="41"/>
      <c r="J76" s="45"/>
      <c r="K76" s="63">
        <f>MARVEL_Cost!C21/'Design Variables'!B21</f>
        <v>347890</v>
      </c>
      <c r="L76" s="51" t="s">
        <v>398</v>
      </c>
      <c r="M76" s="61" t="s">
        <v>475</v>
      </c>
      <c r="N76" s="51"/>
      <c r="O76" s="51"/>
      <c r="P76" s="51"/>
      <c r="Q76" s="68">
        <v>2024</v>
      </c>
      <c r="R76" s="51" t="s">
        <v>77</v>
      </c>
      <c r="S76" s="61" t="s">
        <v>175</v>
      </c>
      <c r="T76" s="97" t="s">
        <v>176</v>
      </c>
      <c r="U76" s="101" t="s">
        <v>444</v>
      </c>
      <c r="V76" s="61" t="s">
        <v>184</v>
      </c>
      <c r="W76" s="80" t="s">
        <v>447</v>
      </c>
      <c r="X76" s="84">
        <f t="shared" si="4"/>
        <v>0</v>
      </c>
      <c r="Y76" s="84">
        <f t="shared" si="5"/>
        <v>0</v>
      </c>
      <c r="Z76" s="80" t="s">
        <v>448</v>
      </c>
      <c r="AA76" s="83">
        <f t="shared" si="6"/>
        <v>313101</v>
      </c>
      <c r="AB76" s="83">
        <f t="shared" si="7"/>
        <v>452257</v>
      </c>
      <c r="AC76" s="80" t="s">
        <v>448</v>
      </c>
      <c r="AD76" s="83" t="s">
        <v>472</v>
      </c>
      <c r="AE76" s="83" t="s">
        <v>473</v>
      </c>
      <c r="AF76" s="83" t="s">
        <v>474</v>
      </c>
      <c r="AG76" s="80" t="s">
        <v>449</v>
      </c>
    </row>
    <row r="77" spans="1:33" s="35" customFormat="1" ht="13.2">
      <c r="A77" s="55">
        <v>221.21199999999999</v>
      </c>
      <c r="B77" s="40">
        <f t="shared" si="0"/>
        <v>5</v>
      </c>
      <c r="C77" s="58" t="s">
        <v>133</v>
      </c>
      <c r="D77" s="41" t="str">
        <f t="shared" si="1"/>
        <v xml:space="preserve">                              Installation</v>
      </c>
      <c r="E77" s="41" t="s">
        <v>341</v>
      </c>
      <c r="F77" s="41"/>
      <c r="G77" s="41"/>
      <c r="H77" s="41"/>
      <c r="I77" s="41"/>
      <c r="J77" s="45"/>
      <c r="K77" s="63">
        <f>MARVEL_Cost!C22/'Design Variables'!B21</f>
        <v>80665.75</v>
      </c>
      <c r="L77" s="51" t="s">
        <v>398</v>
      </c>
      <c r="M77" s="61" t="s">
        <v>475</v>
      </c>
      <c r="N77" s="51"/>
      <c r="O77" s="51"/>
      <c r="P77" s="51"/>
      <c r="Q77" s="68">
        <v>2024</v>
      </c>
      <c r="R77" s="76" t="s">
        <v>85</v>
      </c>
      <c r="S77" s="61" t="s">
        <v>175</v>
      </c>
      <c r="T77" s="97"/>
      <c r="U77" s="101"/>
      <c r="V77" s="51"/>
      <c r="W77" s="80" t="s">
        <v>447</v>
      </c>
      <c r="X77" s="84">
        <f t="shared" si="4"/>
        <v>0</v>
      </c>
      <c r="Y77" s="84">
        <f t="shared" si="5"/>
        <v>0</v>
      </c>
      <c r="Z77" s="80" t="s">
        <v>448</v>
      </c>
      <c r="AA77" s="83">
        <f t="shared" si="6"/>
        <v>72599.175000000003</v>
      </c>
      <c r="AB77" s="83">
        <f t="shared" si="7"/>
        <v>104865.47500000001</v>
      </c>
      <c r="AC77" s="80" t="s">
        <v>448</v>
      </c>
      <c r="AD77" s="83" t="s">
        <v>472</v>
      </c>
      <c r="AE77" s="83" t="s">
        <v>473</v>
      </c>
      <c r="AF77" s="83" t="s">
        <v>474</v>
      </c>
      <c r="AG77" s="80" t="s">
        <v>449</v>
      </c>
    </row>
    <row r="78" spans="1:33" s="35" customFormat="1" ht="30" customHeight="1">
      <c r="A78" s="55">
        <v>221.21299999999999</v>
      </c>
      <c r="B78" s="40">
        <f t="shared" si="0"/>
        <v>5</v>
      </c>
      <c r="C78" s="58" t="s">
        <v>181</v>
      </c>
      <c r="D78" s="41" t="str">
        <f>REPT("   ", B78*2) &amp; C78</f>
        <v xml:space="preserve">                              Control Drums Materials (Absorber)</v>
      </c>
      <c r="E78" s="41" t="s">
        <v>341</v>
      </c>
      <c r="F78" s="41" t="s">
        <v>328</v>
      </c>
      <c r="G78" s="41" t="s">
        <v>186</v>
      </c>
      <c r="H78" s="41"/>
      <c r="I78" s="41"/>
      <c r="J78" s="45"/>
      <c r="K78" s="63">
        <f>400000/N78</f>
        <v>14285.714285714286</v>
      </c>
      <c r="L78" s="51" t="s">
        <v>174</v>
      </c>
      <c r="M78" s="61" t="s">
        <v>185</v>
      </c>
      <c r="N78" s="51">
        <f>'Design Variables'!B28+'Design Variables'!B29</f>
        <v>28</v>
      </c>
      <c r="O78" s="51" t="s">
        <v>173</v>
      </c>
      <c r="P78" s="51">
        <v>1</v>
      </c>
      <c r="Q78" s="68">
        <v>2024</v>
      </c>
      <c r="R78" s="51" t="s">
        <v>73</v>
      </c>
      <c r="S78" s="61" t="s">
        <v>175</v>
      </c>
      <c r="T78" s="97"/>
      <c r="U78" s="101"/>
      <c r="V78" s="51"/>
      <c r="W78" s="80" t="s">
        <v>464</v>
      </c>
      <c r="X78" s="84">
        <f t="shared" si="4"/>
        <v>0</v>
      </c>
      <c r="Y78" s="84">
        <f t="shared" si="5"/>
        <v>0</v>
      </c>
      <c r="Z78" s="80" t="s">
        <v>448</v>
      </c>
      <c r="AA78" s="83">
        <f t="shared" si="6"/>
        <v>12857.142857142859</v>
      </c>
      <c r="AB78" s="83">
        <f t="shared" si="7"/>
        <v>18571.428571428572</v>
      </c>
      <c r="AC78" s="80" t="s">
        <v>448</v>
      </c>
      <c r="AD78" s="83" t="s">
        <v>472</v>
      </c>
      <c r="AE78" s="83" t="s">
        <v>473</v>
      </c>
      <c r="AF78" s="83" t="s">
        <v>474</v>
      </c>
      <c r="AG78" s="80" t="s">
        <v>449</v>
      </c>
    </row>
    <row r="79" spans="1:33" s="35" customFormat="1" ht="30" customHeight="1">
      <c r="A79" s="55">
        <v>221.21299999999999</v>
      </c>
      <c r="B79" s="40">
        <f t="shared" ref="B79" si="24">IF(ISNUMBER(A79),
    IF(AND(A79=INT(A79), MOD(A79, 10) = 0), 0,
        IF(AND(A79=INT(A79), LEN(A79)=2), 1,
            IF(AND(A79=INT(A79), LEN(A79)=3), 2,
                LEN(A79) - FIND(".", A79) + 2)
        )
    ),
"")</f>
        <v>5</v>
      </c>
      <c r="C79" s="58" t="s">
        <v>181</v>
      </c>
      <c r="D79" s="41" t="str">
        <f>REPT("   ", B79*2) &amp; C79</f>
        <v xml:space="preserve">                              Control Drums Materials (Absorber)</v>
      </c>
      <c r="E79" s="41" t="s">
        <v>341</v>
      </c>
      <c r="F79" s="41" t="s">
        <v>328</v>
      </c>
      <c r="G79" s="41" t="s">
        <v>432</v>
      </c>
      <c r="H79" s="41"/>
      <c r="I79" s="41"/>
      <c r="J79" s="45"/>
      <c r="K79" s="63">
        <v>10064</v>
      </c>
      <c r="L79" s="51" t="s">
        <v>174</v>
      </c>
      <c r="M79" s="61" t="s">
        <v>185</v>
      </c>
      <c r="N79" s="51"/>
      <c r="O79" s="51"/>
      <c r="P79" s="51"/>
      <c r="Q79" s="68">
        <v>2023</v>
      </c>
      <c r="R79" s="51" t="s">
        <v>73</v>
      </c>
      <c r="S79" s="61" t="s">
        <v>433</v>
      </c>
      <c r="T79" s="97"/>
      <c r="U79" s="101"/>
      <c r="V79" s="51"/>
      <c r="W79" s="80" t="s">
        <v>464</v>
      </c>
      <c r="X79" s="84">
        <f t="shared" si="4"/>
        <v>0</v>
      </c>
      <c r="Y79" s="84">
        <f t="shared" si="5"/>
        <v>0</v>
      </c>
      <c r="Z79" s="80" t="s">
        <v>448</v>
      </c>
      <c r="AA79" s="83">
        <f t="shared" si="6"/>
        <v>9057.6</v>
      </c>
      <c r="AB79" s="83">
        <f t="shared" si="7"/>
        <v>13083.2</v>
      </c>
      <c r="AC79" s="80" t="s">
        <v>448</v>
      </c>
      <c r="AD79" s="83" t="s">
        <v>472</v>
      </c>
      <c r="AE79" s="83" t="s">
        <v>473</v>
      </c>
      <c r="AF79" s="83" t="s">
        <v>474</v>
      </c>
      <c r="AG79" s="80" t="s">
        <v>449</v>
      </c>
    </row>
    <row r="80" spans="1:33" s="35" customFormat="1" ht="30" customHeight="1">
      <c r="A80" s="55">
        <v>221.214</v>
      </c>
      <c r="B80" s="40">
        <f t="shared" si="0"/>
        <v>5</v>
      </c>
      <c r="C80" s="58" t="s">
        <v>182</v>
      </c>
      <c r="D80" s="41" t="str">
        <f t="shared" si="1"/>
        <v xml:space="preserve">                              Control Drums Materials (Reflector)</v>
      </c>
      <c r="E80" s="41" t="s">
        <v>341</v>
      </c>
      <c r="F80" s="41" t="s">
        <v>327</v>
      </c>
      <c r="G80" s="41" t="s">
        <v>261</v>
      </c>
      <c r="H80" s="41"/>
      <c r="I80" s="41"/>
      <c r="J80" s="45"/>
      <c r="K80" s="66">
        <f>MARVEL_Cost!C27/N80</f>
        <v>10062.893081761007</v>
      </c>
      <c r="L80" s="51" t="s">
        <v>174</v>
      </c>
      <c r="M80" s="61" t="s">
        <v>183</v>
      </c>
      <c r="N80" s="51">
        <f>'Design Variables'!B17</f>
        <v>318</v>
      </c>
      <c r="O80" s="51" t="s">
        <v>173</v>
      </c>
      <c r="P80" s="51">
        <v>1</v>
      </c>
      <c r="Q80" s="68">
        <v>2024</v>
      </c>
      <c r="R80" s="51" t="s">
        <v>73</v>
      </c>
      <c r="S80" s="61" t="s">
        <v>175</v>
      </c>
      <c r="T80" s="97"/>
      <c r="U80" s="101"/>
      <c r="V80" s="51"/>
      <c r="W80" s="80" t="s">
        <v>536</v>
      </c>
      <c r="X80" s="84">
        <f>0.9*$J80</f>
        <v>0</v>
      </c>
      <c r="Y80" s="84">
        <f t="shared" ref="Y80:Y149" si="25">1.5*J80</f>
        <v>0</v>
      </c>
      <c r="Z80" s="80" t="s">
        <v>448</v>
      </c>
      <c r="AA80" s="83">
        <f t="shared" ref="AA80:AA149" si="26">0.9*K80</f>
        <v>9056.6037735849059</v>
      </c>
      <c r="AB80" s="83">
        <f t="shared" ref="AB80:AB149" si="27">1.3*K80</f>
        <v>13081.761006289309</v>
      </c>
      <c r="AC80" s="80" t="s">
        <v>448</v>
      </c>
      <c r="AD80" s="83" t="s">
        <v>472</v>
      </c>
      <c r="AE80" s="83" t="s">
        <v>473</v>
      </c>
      <c r="AF80" s="83" t="s">
        <v>474</v>
      </c>
      <c r="AG80" s="80" t="s">
        <v>449</v>
      </c>
    </row>
    <row r="81" spans="1:36" s="35" customFormat="1" ht="30" customHeight="1">
      <c r="A81" s="55">
        <v>221.214</v>
      </c>
      <c r="B81" s="40">
        <f t="shared" si="0"/>
        <v>5</v>
      </c>
      <c r="C81" s="77" t="s">
        <v>182</v>
      </c>
      <c r="D81" s="41" t="str">
        <f t="shared" si="1"/>
        <v xml:space="preserve">                              Control Drums Materials (Reflector)</v>
      </c>
      <c r="E81" s="41" t="s">
        <v>341</v>
      </c>
      <c r="F81" s="41" t="s">
        <v>327</v>
      </c>
      <c r="G81" s="41" t="s">
        <v>446</v>
      </c>
      <c r="H81" s="41"/>
      <c r="I81" s="41"/>
      <c r="J81" s="81"/>
      <c r="K81" s="66">
        <f>MARVEL_Cost!C28/N81</f>
        <v>44736.84210526316</v>
      </c>
      <c r="L81" s="51" t="s">
        <v>174</v>
      </c>
      <c r="M81" s="61" t="s">
        <v>183</v>
      </c>
      <c r="N81" s="51">
        <f>1000*'Design Variables'!B19</f>
        <v>19</v>
      </c>
      <c r="O81" s="51" t="s">
        <v>173</v>
      </c>
      <c r="P81" s="51">
        <v>1</v>
      </c>
      <c r="Q81" s="68">
        <v>2024</v>
      </c>
      <c r="R81" s="51" t="s">
        <v>73</v>
      </c>
      <c r="S81" s="61" t="s">
        <v>175</v>
      </c>
      <c r="T81" s="82"/>
      <c r="U81" s="67"/>
      <c r="V81" s="51"/>
      <c r="W81" s="80" t="s">
        <v>535</v>
      </c>
      <c r="X81" s="84">
        <f>0.9*$J81</f>
        <v>0</v>
      </c>
      <c r="Y81" s="84">
        <f t="shared" si="25"/>
        <v>0</v>
      </c>
      <c r="Z81" s="80" t="s">
        <v>448</v>
      </c>
      <c r="AA81" s="83">
        <f t="shared" si="26"/>
        <v>40263.157894736847</v>
      </c>
      <c r="AB81" s="83">
        <f t="shared" si="27"/>
        <v>58157.894736842107</v>
      </c>
      <c r="AC81" s="80" t="s">
        <v>448</v>
      </c>
      <c r="AD81" s="83" t="s">
        <v>472</v>
      </c>
      <c r="AE81" s="83" t="s">
        <v>473</v>
      </c>
      <c r="AF81" s="83" t="s">
        <v>474</v>
      </c>
      <c r="AG81" s="80" t="s">
        <v>449</v>
      </c>
      <c r="AJ81" s="38"/>
    </row>
    <row r="82" spans="1:36" s="35" customFormat="1" ht="30" customHeight="1">
      <c r="A82" s="55">
        <v>221.214</v>
      </c>
      <c r="B82" s="40">
        <f t="shared" ref="B82" si="28">IF(ISNUMBER(A82),
    IF(AND(A82=INT(A82), MOD(A82, 10) = 0), 0,
        IF(AND(A82=INT(A82), LEN(A82)=2), 1,
            IF(AND(A82=INT(A82), LEN(A82)=3), 2,
                LEN(A82) - FIND(".", A82) + 2)
        )
    ),
"")</f>
        <v>5</v>
      </c>
      <c r="C82" s="58" t="s">
        <v>182</v>
      </c>
      <c r="D82" s="41" t="str">
        <f t="shared" ref="D82" si="29">REPT("   ", B82*2) &amp; C82</f>
        <v xml:space="preserve">                              Control Drums Materials (Reflector)</v>
      </c>
      <c r="E82" s="41" t="s">
        <v>341</v>
      </c>
      <c r="F82" s="41" t="s">
        <v>327</v>
      </c>
      <c r="G82" s="41" t="s">
        <v>333</v>
      </c>
      <c r="H82" s="41"/>
      <c r="I82" s="41"/>
      <c r="J82" s="45"/>
      <c r="K82" s="66">
        <v>80</v>
      </c>
      <c r="L82" s="51" t="s">
        <v>174</v>
      </c>
      <c r="M82" s="61" t="s">
        <v>183</v>
      </c>
      <c r="N82" s="51"/>
      <c r="O82" s="51"/>
      <c r="P82" s="51"/>
      <c r="Q82" s="68">
        <v>2022</v>
      </c>
      <c r="R82" s="51" t="s">
        <v>73</v>
      </c>
      <c r="S82" s="61" t="s">
        <v>402</v>
      </c>
      <c r="T82" s="65" t="s">
        <v>403</v>
      </c>
      <c r="U82" s="67"/>
      <c r="V82" s="51"/>
      <c r="W82" s="80" t="s">
        <v>464</v>
      </c>
      <c r="X82" s="84">
        <f>0.9*$J82</f>
        <v>0</v>
      </c>
      <c r="Y82" s="84">
        <f t="shared" si="25"/>
        <v>0</v>
      </c>
      <c r="Z82" s="80" t="s">
        <v>448</v>
      </c>
      <c r="AA82" s="83">
        <f t="shared" si="26"/>
        <v>72</v>
      </c>
      <c r="AB82" s="83">
        <f t="shared" si="27"/>
        <v>104</v>
      </c>
      <c r="AC82" s="80" t="s">
        <v>448</v>
      </c>
      <c r="AD82" s="83" t="s">
        <v>472</v>
      </c>
      <c r="AE82" s="83" t="s">
        <v>473</v>
      </c>
      <c r="AF82" s="83" t="s">
        <v>474</v>
      </c>
      <c r="AG82" s="80" t="s">
        <v>449</v>
      </c>
    </row>
    <row r="83" spans="1:36" s="35" customFormat="1" ht="30" customHeight="1">
      <c r="A83" s="55">
        <v>221.215</v>
      </c>
      <c r="B83" s="40">
        <f t="shared" si="0"/>
        <v>5</v>
      </c>
      <c r="C83" s="58" t="s">
        <v>401</v>
      </c>
      <c r="D83" s="41" t="str">
        <f t="shared" si="1"/>
        <v xml:space="preserve">                              Control System Drive Mechanism</v>
      </c>
      <c r="E83" s="41" t="s">
        <v>341</v>
      </c>
      <c r="F83" s="41"/>
      <c r="G83" s="41"/>
      <c r="H83" s="41"/>
      <c r="I83" s="41"/>
      <c r="J83" s="45"/>
      <c r="K83" s="63">
        <v>74759</v>
      </c>
      <c r="L83" s="51" t="s">
        <v>398</v>
      </c>
      <c r="M83" s="61" t="s">
        <v>475</v>
      </c>
      <c r="N83" s="51"/>
      <c r="O83" s="51"/>
      <c r="P83" s="51"/>
      <c r="Q83" s="68">
        <v>2023</v>
      </c>
      <c r="R83" s="51" t="s">
        <v>77</v>
      </c>
      <c r="S83" s="61" t="s">
        <v>433</v>
      </c>
      <c r="T83" s="65" t="s">
        <v>399</v>
      </c>
      <c r="U83" s="67"/>
      <c r="V83" s="51" t="s">
        <v>400</v>
      </c>
      <c r="W83" s="80" t="s">
        <v>447</v>
      </c>
      <c r="X83" s="84">
        <f>0.9*$J83</f>
        <v>0</v>
      </c>
      <c r="Y83" s="84">
        <f t="shared" si="25"/>
        <v>0</v>
      </c>
      <c r="Z83" s="80" t="s">
        <v>448</v>
      </c>
      <c r="AA83" s="83">
        <f t="shared" si="26"/>
        <v>67283.100000000006</v>
      </c>
      <c r="AB83" s="83">
        <f t="shared" si="27"/>
        <v>97186.7</v>
      </c>
      <c r="AC83" s="80" t="s">
        <v>448</v>
      </c>
      <c r="AD83" s="83" t="s">
        <v>472</v>
      </c>
      <c r="AE83" s="83" t="s">
        <v>473</v>
      </c>
      <c r="AF83" s="83" t="s">
        <v>474</v>
      </c>
      <c r="AG83" s="80" t="s">
        <v>449</v>
      </c>
    </row>
    <row r="84" spans="1:36">
      <c r="A84" s="55">
        <v>221.3</v>
      </c>
      <c r="B84" s="40">
        <f t="shared" si="0"/>
        <v>3</v>
      </c>
      <c r="C84" s="58" t="s">
        <v>134</v>
      </c>
      <c r="D84" s="41" t="str">
        <f t="shared" si="1"/>
        <v xml:space="preserve">                  Non-Fuel Core Internals</v>
      </c>
      <c r="E84" s="41" t="s">
        <v>341</v>
      </c>
      <c r="F84" s="41"/>
      <c r="G84" s="41"/>
      <c r="H84" s="41"/>
      <c r="I84" s="41"/>
      <c r="J84" s="45"/>
      <c r="K84" s="63"/>
      <c r="L84" s="51"/>
      <c r="M84" s="51"/>
      <c r="N84" s="51"/>
      <c r="O84" s="51"/>
      <c r="P84" s="51"/>
      <c r="Q84" s="68"/>
      <c r="R84" s="51"/>
      <c r="S84" s="61"/>
      <c r="T84" s="51"/>
      <c r="U84" s="51"/>
      <c r="V84" s="51"/>
      <c r="W84" s="80"/>
      <c r="X84" s="84"/>
      <c r="Y84" s="84"/>
      <c r="Z84" s="80"/>
      <c r="AA84" s="83"/>
      <c r="AB84" s="83"/>
      <c r="AC84" s="80"/>
      <c r="AD84" s="83"/>
      <c r="AE84" s="83"/>
      <c r="AF84" s="83"/>
      <c r="AG84" s="80"/>
    </row>
    <row r="85" spans="1:36" ht="14.55" customHeight="1">
      <c r="A85" s="55">
        <v>221.31</v>
      </c>
      <c r="B85" s="40">
        <f t="shared" si="0"/>
        <v>4</v>
      </c>
      <c r="C85" s="58" t="s">
        <v>13</v>
      </c>
      <c r="D85" s="41" t="str">
        <f t="shared" si="1"/>
        <v xml:space="preserve">                        Reflector</v>
      </c>
      <c r="E85" s="41" t="s">
        <v>341</v>
      </c>
      <c r="F85" s="41" t="s">
        <v>13</v>
      </c>
      <c r="G85" s="41" t="s">
        <v>261</v>
      </c>
      <c r="H85" s="41"/>
      <c r="I85" s="41"/>
      <c r="J85" s="45">
        <f>MARVEL_Cost!C29</f>
        <v>120231</v>
      </c>
      <c r="K85" s="66">
        <f>MARVEL_Cost!C27/N85</f>
        <v>10062.893081761007</v>
      </c>
      <c r="L85" s="51" t="s">
        <v>174</v>
      </c>
      <c r="M85" s="61" t="s">
        <v>330</v>
      </c>
      <c r="N85" s="51">
        <f>'Design Variables'!B17</f>
        <v>318</v>
      </c>
      <c r="O85" s="51" t="s">
        <v>173</v>
      </c>
      <c r="P85" s="51">
        <v>1</v>
      </c>
      <c r="Q85" s="68">
        <v>2024</v>
      </c>
      <c r="R85" s="51" t="s">
        <v>73</v>
      </c>
      <c r="S85" s="61" t="s">
        <v>175</v>
      </c>
      <c r="T85" s="61" t="s">
        <v>176</v>
      </c>
      <c r="U85" s="101" t="s">
        <v>444</v>
      </c>
      <c r="V85" s="51"/>
      <c r="W85" s="80" t="s">
        <v>536</v>
      </c>
      <c r="X85" s="84">
        <f>0.9*$J85</f>
        <v>108207.90000000001</v>
      </c>
      <c r="Y85" s="84">
        <f t="shared" si="25"/>
        <v>180346.5</v>
      </c>
      <c r="Z85" s="80" t="s">
        <v>448</v>
      </c>
      <c r="AA85" s="83">
        <f t="shared" si="26"/>
        <v>9056.6037735849059</v>
      </c>
      <c r="AB85" s="83">
        <f t="shared" si="27"/>
        <v>13081.761006289309</v>
      </c>
      <c r="AC85" s="80" t="s">
        <v>448</v>
      </c>
      <c r="AD85" s="83" t="s">
        <v>472</v>
      </c>
      <c r="AE85" s="83" t="s">
        <v>473</v>
      </c>
      <c r="AF85" s="83" t="s">
        <v>474</v>
      </c>
      <c r="AG85" s="80" t="s">
        <v>449</v>
      </c>
    </row>
    <row r="86" spans="1:36" ht="14.55" customHeight="1">
      <c r="A86" s="55">
        <v>221.31</v>
      </c>
      <c r="B86" s="40">
        <f t="shared" ref="B86" si="30">IF(ISNUMBER(A86),
    IF(AND(A86=INT(A86), MOD(A86, 10) = 0), 0,
        IF(AND(A86=INT(A86), LEN(A86)=2), 1,
            IF(AND(A86=INT(A86), LEN(A86)=3), 2,
                LEN(A86) - FIND(".", A86) + 2)
        )
    ),
"")</f>
        <v>4</v>
      </c>
      <c r="C86" s="58" t="s">
        <v>13</v>
      </c>
      <c r="D86" s="41" t="str">
        <f t="shared" ref="D86" si="31">REPT("   ", B86*2) &amp; C86</f>
        <v xml:space="preserve">                        Reflector</v>
      </c>
      <c r="E86" s="41" t="s">
        <v>341</v>
      </c>
      <c r="F86" s="41" t="s">
        <v>13</v>
      </c>
      <c r="G86" s="41" t="s">
        <v>446</v>
      </c>
      <c r="H86" s="41"/>
      <c r="I86" s="41"/>
      <c r="J86" s="45"/>
      <c r="K86" s="66">
        <f>MARVEL_Cost!C28/N81</f>
        <v>44736.84210526316</v>
      </c>
      <c r="L86" s="51" t="s">
        <v>174</v>
      </c>
      <c r="M86" s="61" t="s">
        <v>330</v>
      </c>
      <c r="N86" s="51">
        <f>1000*'Design Variables'!B19</f>
        <v>19</v>
      </c>
      <c r="O86" s="51" t="s">
        <v>173</v>
      </c>
      <c r="P86" s="51">
        <v>1</v>
      </c>
      <c r="Q86" s="68">
        <v>2024</v>
      </c>
      <c r="R86" s="51" t="s">
        <v>73</v>
      </c>
      <c r="S86" s="61" t="s">
        <v>175</v>
      </c>
      <c r="T86" s="61" t="s">
        <v>176</v>
      </c>
      <c r="U86" s="101"/>
      <c r="V86" s="51"/>
      <c r="W86" s="80" t="s">
        <v>535</v>
      </c>
      <c r="X86" s="84">
        <f>0.9*$J86</f>
        <v>0</v>
      </c>
      <c r="Y86" s="84">
        <f t="shared" si="25"/>
        <v>0</v>
      </c>
      <c r="Z86" s="80" t="s">
        <v>448</v>
      </c>
      <c r="AA86" s="83">
        <f t="shared" si="26"/>
        <v>40263.157894736847</v>
      </c>
      <c r="AB86" s="83">
        <f t="shared" si="27"/>
        <v>58157.894736842107</v>
      </c>
      <c r="AC86" s="80" t="s">
        <v>448</v>
      </c>
      <c r="AD86" s="83" t="s">
        <v>472</v>
      </c>
      <c r="AE86" s="83" t="s">
        <v>473</v>
      </c>
      <c r="AF86" s="83" t="s">
        <v>474</v>
      </c>
      <c r="AG86" s="80" t="s">
        <v>449</v>
      </c>
    </row>
    <row r="87" spans="1:36" ht="53.4">
      <c r="A87" s="55">
        <v>221.31</v>
      </c>
      <c r="B87" s="40">
        <f t="shared" ref="B87" si="32">IF(ISNUMBER(A87),
    IF(AND(A87=INT(A87), MOD(A87, 10) = 0), 0,
        IF(AND(A87=INT(A87), LEN(A87)=2), 1,
            IF(AND(A87=INT(A87), LEN(A87)=3), 2,
                LEN(A87) - FIND(".", A87) + 2)
        )
    ),
"")</f>
        <v>4</v>
      </c>
      <c r="C87" s="58" t="s">
        <v>13</v>
      </c>
      <c r="D87" s="41" t="str">
        <f t="shared" si="1"/>
        <v xml:space="preserve">                        Reflector</v>
      </c>
      <c r="E87" s="41" t="s">
        <v>341</v>
      </c>
      <c r="F87" s="41" t="s">
        <v>13</v>
      </c>
      <c r="G87" s="41" t="s">
        <v>333</v>
      </c>
      <c r="H87" s="41"/>
      <c r="I87" s="41"/>
      <c r="J87" s="45"/>
      <c r="K87" s="66">
        <v>80</v>
      </c>
      <c r="L87" s="51" t="s">
        <v>174</v>
      </c>
      <c r="M87" s="61" t="s">
        <v>330</v>
      </c>
      <c r="N87" s="51"/>
      <c r="O87" s="51"/>
      <c r="P87" s="51"/>
      <c r="Q87" s="68">
        <v>2022</v>
      </c>
      <c r="R87" s="51" t="s">
        <v>73</v>
      </c>
      <c r="S87" s="61" t="s">
        <v>402</v>
      </c>
      <c r="T87" s="61" t="s">
        <v>403</v>
      </c>
      <c r="U87" s="101"/>
      <c r="V87" s="51"/>
      <c r="W87" s="80" t="s">
        <v>464</v>
      </c>
      <c r="X87" s="84">
        <f>0.9*$J87</f>
        <v>0</v>
      </c>
      <c r="Y87" s="84">
        <f t="shared" si="25"/>
        <v>0</v>
      </c>
      <c r="Z87" s="80" t="s">
        <v>448</v>
      </c>
      <c r="AA87" s="83">
        <f t="shared" si="26"/>
        <v>72</v>
      </c>
      <c r="AB87" s="83">
        <f t="shared" si="27"/>
        <v>104</v>
      </c>
      <c r="AC87" s="80" t="s">
        <v>448</v>
      </c>
      <c r="AD87" s="83" t="s">
        <v>472</v>
      </c>
      <c r="AE87" s="83" t="s">
        <v>473</v>
      </c>
      <c r="AF87" s="83" t="s">
        <v>474</v>
      </c>
      <c r="AG87" s="80" t="s">
        <v>449</v>
      </c>
    </row>
    <row r="88" spans="1:36">
      <c r="A88" s="55">
        <v>221.31</v>
      </c>
      <c r="B88" s="40">
        <f t="shared" ref="B88" si="33">IF(ISNUMBER(A88),
    IF(AND(A88=INT(A88), MOD(A88, 10) = 0), 0,
        IF(AND(A88=INT(A88), LEN(A88)=2), 1,
            IF(AND(A88=INT(A88), LEN(A88)=3), 2,
                LEN(A88) - FIND(".", A88) + 2)
        )
    ),
"")</f>
        <v>4</v>
      </c>
      <c r="C88" s="58" t="s">
        <v>13</v>
      </c>
      <c r="D88" s="41" t="str">
        <f t="shared" ref="D88" si="34">REPT("   ", B88*2) &amp; C88</f>
        <v xml:space="preserve">                        Reflector</v>
      </c>
      <c r="E88" s="41" t="s">
        <v>341</v>
      </c>
      <c r="F88" s="41" t="s">
        <v>13</v>
      </c>
      <c r="G88" s="41" t="s">
        <v>404</v>
      </c>
      <c r="H88" s="41"/>
      <c r="I88" s="41"/>
      <c r="J88" s="45"/>
      <c r="K88" s="66">
        <v>134.1</v>
      </c>
      <c r="L88" s="51" t="s">
        <v>174</v>
      </c>
      <c r="M88" s="61" t="s">
        <v>330</v>
      </c>
      <c r="N88" s="51"/>
      <c r="O88" s="51"/>
      <c r="P88" s="51"/>
      <c r="Q88" s="68">
        <v>2017</v>
      </c>
      <c r="R88" s="51" t="s">
        <v>73</v>
      </c>
      <c r="S88" s="61" t="s">
        <v>406</v>
      </c>
      <c r="T88" s="61"/>
      <c r="U88" s="101"/>
      <c r="V88" s="51"/>
      <c r="W88" s="80" t="s">
        <v>464</v>
      </c>
      <c r="X88" s="84">
        <f>0.9*$J88</f>
        <v>0</v>
      </c>
      <c r="Y88" s="84">
        <f t="shared" si="25"/>
        <v>0</v>
      </c>
      <c r="Z88" s="80" t="s">
        <v>448</v>
      </c>
      <c r="AA88" s="83">
        <f t="shared" si="26"/>
        <v>120.69</v>
      </c>
      <c r="AB88" s="83">
        <f t="shared" si="27"/>
        <v>174.33</v>
      </c>
      <c r="AC88" s="80" t="s">
        <v>448</v>
      </c>
      <c r="AD88" s="83" t="s">
        <v>472</v>
      </c>
      <c r="AE88" s="83" t="s">
        <v>473</v>
      </c>
      <c r="AF88" s="83" t="s">
        <v>474</v>
      </c>
      <c r="AG88" s="80" t="s">
        <v>449</v>
      </c>
    </row>
    <row r="89" spans="1:36">
      <c r="A89" s="55">
        <v>221.32</v>
      </c>
      <c r="B89" s="40">
        <f t="shared" si="0"/>
        <v>4</v>
      </c>
      <c r="C89" s="58" t="s">
        <v>14</v>
      </c>
      <c r="D89" s="41" t="str">
        <f t="shared" si="1"/>
        <v xml:space="preserve">                        Shield</v>
      </c>
      <c r="E89" s="41"/>
      <c r="F89" s="41"/>
      <c r="G89" s="41"/>
      <c r="H89" s="41"/>
      <c r="I89" s="41"/>
      <c r="J89" s="45"/>
      <c r="K89" s="63"/>
      <c r="L89" s="51"/>
      <c r="M89" s="61"/>
      <c r="N89" s="51"/>
      <c r="O89" s="51"/>
      <c r="P89" s="51"/>
      <c r="Q89" s="68"/>
      <c r="R89" s="51"/>
      <c r="S89" s="61"/>
      <c r="T89" s="61"/>
      <c r="U89" s="101"/>
      <c r="V89" s="51"/>
      <c r="W89" s="80"/>
      <c r="X89" s="84"/>
      <c r="Y89" s="84"/>
      <c r="Z89" s="80"/>
      <c r="AA89" s="83"/>
      <c r="AB89" s="83"/>
      <c r="AC89" s="80"/>
      <c r="AD89" s="83"/>
      <c r="AE89" s="83"/>
      <c r="AF89" s="83"/>
      <c r="AG89" s="80"/>
    </row>
    <row r="90" spans="1:36" s="35" customFormat="1" ht="30" customHeight="1">
      <c r="A90" s="55">
        <v>221.321</v>
      </c>
      <c r="B90" s="40">
        <f t="shared" si="0"/>
        <v>5</v>
      </c>
      <c r="C90" s="58" t="s">
        <v>135</v>
      </c>
      <c r="D90" s="41" t="str">
        <f t="shared" si="1"/>
        <v xml:space="preserve">                              In Vessel Shield Materials</v>
      </c>
      <c r="E90" s="41" t="s">
        <v>341</v>
      </c>
      <c r="F90" s="41" t="s">
        <v>476</v>
      </c>
      <c r="G90" s="41" t="s">
        <v>186</v>
      </c>
      <c r="H90" s="41"/>
      <c r="I90" s="41"/>
      <c r="J90" s="45">
        <f>MARVEL_Cost!C30</f>
        <v>647990.6</v>
      </c>
      <c r="K90" s="63">
        <f>K78</f>
        <v>14285.714285714286</v>
      </c>
      <c r="L90" s="51" t="s">
        <v>174</v>
      </c>
      <c r="M90" s="61" t="s">
        <v>478</v>
      </c>
      <c r="N90" s="51">
        <f>N78</f>
        <v>28</v>
      </c>
      <c r="O90" s="51" t="s">
        <v>173</v>
      </c>
      <c r="P90" s="51">
        <v>1</v>
      </c>
      <c r="Q90" s="68">
        <v>2024</v>
      </c>
      <c r="R90" s="51" t="s">
        <v>73</v>
      </c>
      <c r="S90" s="61" t="s">
        <v>175</v>
      </c>
      <c r="T90" s="61"/>
      <c r="U90" s="101"/>
      <c r="V90" s="51"/>
      <c r="W90" s="80" t="s">
        <v>464</v>
      </c>
      <c r="X90" s="84">
        <f>0.9*$J90</f>
        <v>583191.54</v>
      </c>
      <c r="Y90" s="84">
        <f t="shared" si="25"/>
        <v>971985.89999999991</v>
      </c>
      <c r="Z90" s="80" t="s">
        <v>448</v>
      </c>
      <c r="AA90" s="83">
        <f t="shared" si="26"/>
        <v>12857.142857142859</v>
      </c>
      <c r="AB90" s="83">
        <f t="shared" si="27"/>
        <v>18571.428571428572</v>
      </c>
      <c r="AC90" s="80" t="s">
        <v>448</v>
      </c>
      <c r="AD90" s="83" t="s">
        <v>472</v>
      </c>
      <c r="AE90" s="83" t="s">
        <v>473</v>
      </c>
      <c r="AF90" s="83" t="s">
        <v>474</v>
      </c>
      <c r="AG90" s="80" t="s">
        <v>449</v>
      </c>
    </row>
    <row r="91" spans="1:36" s="35" customFormat="1" ht="30" customHeight="1">
      <c r="A91" s="55">
        <v>221.322</v>
      </c>
      <c r="B91" s="40">
        <f t="shared" si="0"/>
        <v>5</v>
      </c>
      <c r="C91" s="58" t="s">
        <v>136</v>
      </c>
      <c r="D91" s="41" t="str">
        <f t="shared" si="1"/>
        <v xml:space="preserve">                              Out The Vessel Shield Materials</v>
      </c>
      <c r="E91" s="41" t="s">
        <v>341</v>
      </c>
      <c r="F91" s="41" t="s">
        <v>477</v>
      </c>
      <c r="G91" s="41" t="s">
        <v>331</v>
      </c>
      <c r="H91" s="41"/>
      <c r="I91" s="41"/>
      <c r="J91" s="45"/>
      <c r="K91" s="63">
        <v>20</v>
      </c>
      <c r="L91" s="51" t="s">
        <v>174</v>
      </c>
      <c r="M91" s="61" t="s">
        <v>479</v>
      </c>
      <c r="N91" s="51">
        <f>'Design Variables'!B43</f>
        <v>925.3</v>
      </c>
      <c r="O91" s="51" t="s">
        <v>173</v>
      </c>
      <c r="P91" s="51">
        <v>1</v>
      </c>
      <c r="Q91" s="68">
        <v>2024</v>
      </c>
      <c r="R91" s="51" t="s">
        <v>73</v>
      </c>
      <c r="S91" s="61" t="s">
        <v>175</v>
      </c>
      <c r="T91" s="61"/>
      <c r="U91" s="101"/>
      <c r="V91" s="51"/>
      <c r="W91" s="80" t="s">
        <v>464</v>
      </c>
      <c r="X91" s="84">
        <f>0.9*$J91</f>
        <v>0</v>
      </c>
      <c r="Y91" s="84">
        <f>1.5*J91</f>
        <v>0</v>
      </c>
      <c r="Z91" s="80" t="s">
        <v>448</v>
      </c>
      <c r="AA91" s="83">
        <f>0.9*K91</f>
        <v>18</v>
      </c>
      <c r="AB91" s="83">
        <f>1.3*K91</f>
        <v>26</v>
      </c>
      <c r="AC91" s="80" t="s">
        <v>448</v>
      </c>
      <c r="AD91" s="83" t="s">
        <v>472</v>
      </c>
      <c r="AE91" s="83" t="s">
        <v>473</v>
      </c>
      <c r="AF91" s="83" t="s">
        <v>474</v>
      </c>
      <c r="AG91" s="80" t="s">
        <v>449</v>
      </c>
    </row>
    <row r="92" spans="1:36" customFormat="1" ht="69" customHeight="1">
      <c r="A92" s="92">
        <v>221.33</v>
      </c>
      <c r="B92" s="93">
        <f t="shared" si="0"/>
        <v>4</v>
      </c>
      <c r="C92" s="58" t="s">
        <v>199</v>
      </c>
      <c r="D92" s="41" t="str">
        <f t="shared" si="1"/>
        <v xml:space="preserve">                        Moderator</v>
      </c>
      <c r="E92" s="41" t="s">
        <v>341</v>
      </c>
      <c r="F92" s="41" t="s">
        <v>199</v>
      </c>
      <c r="G92" s="41" t="s">
        <v>333</v>
      </c>
      <c r="H92" s="91"/>
      <c r="I92" s="91"/>
      <c r="K92" s="63">
        <v>80</v>
      </c>
      <c r="L92" s="51" t="s">
        <v>174</v>
      </c>
      <c r="M92" s="61" t="s">
        <v>334</v>
      </c>
      <c r="O92" s="51" t="s">
        <v>173</v>
      </c>
      <c r="Q92" s="68">
        <v>2022</v>
      </c>
      <c r="R92" s="51" t="s">
        <v>73</v>
      </c>
      <c r="S92" s="61" t="s">
        <v>402</v>
      </c>
      <c r="T92" s="65" t="s">
        <v>403</v>
      </c>
      <c r="W92" s="80" t="s">
        <v>464</v>
      </c>
      <c r="Z92" s="80" t="s">
        <v>448</v>
      </c>
      <c r="AA92" s="83">
        <f t="shared" si="26"/>
        <v>72</v>
      </c>
      <c r="AB92" s="83">
        <f t="shared" si="27"/>
        <v>104</v>
      </c>
      <c r="AC92" s="80" t="s">
        <v>448</v>
      </c>
      <c r="AD92" s="83" t="s">
        <v>472</v>
      </c>
      <c r="AE92" s="83" t="s">
        <v>473</v>
      </c>
      <c r="AF92" s="83" t="s">
        <v>474</v>
      </c>
      <c r="AG92" s="80" t="s">
        <v>449</v>
      </c>
    </row>
    <row r="93" spans="1:36" customFormat="1" ht="69" customHeight="1">
      <c r="A93" s="92">
        <v>221.33</v>
      </c>
      <c r="B93" s="93">
        <f t="shared" ref="B93" si="35">IF(ISNUMBER(A93),
    IF(AND(A93=INT(A93), MOD(A93, 10) = 0), 0,
        IF(AND(A93=INT(A93), LEN(A93)=2), 1,
            IF(AND(A93=INT(A93), LEN(A93)=3), 2,
                LEN(A93) - FIND(".", A93) + 2)
        )
    ),
"")</f>
        <v>4</v>
      </c>
      <c r="C93" s="58" t="s">
        <v>199</v>
      </c>
      <c r="D93" s="41" t="str">
        <f t="shared" ref="D93" si="36">REPT("   ", B93*2) &amp; C93</f>
        <v xml:space="preserve">                        Moderator</v>
      </c>
      <c r="E93" s="41" t="s">
        <v>341</v>
      </c>
      <c r="F93" s="41" t="s">
        <v>199</v>
      </c>
      <c r="G93" s="41" t="s">
        <v>556</v>
      </c>
      <c r="H93" s="91"/>
      <c r="I93" s="91"/>
      <c r="K93" s="63">
        <v>4560</v>
      </c>
      <c r="L93" s="51" t="s">
        <v>174</v>
      </c>
      <c r="M93" s="61" t="s">
        <v>334</v>
      </c>
      <c r="O93" s="51" t="s">
        <v>173</v>
      </c>
      <c r="Q93" s="68">
        <v>2017</v>
      </c>
      <c r="R93" s="51" t="s">
        <v>73</v>
      </c>
      <c r="S93" s="61"/>
      <c r="T93" s="65"/>
      <c r="W93" s="80" t="s">
        <v>464</v>
      </c>
      <c r="Z93" s="80" t="s">
        <v>448</v>
      </c>
      <c r="AA93" s="83">
        <f t="shared" ref="AA93" si="37">0.9*K93</f>
        <v>4104</v>
      </c>
      <c r="AB93" s="83">
        <f t="shared" ref="AB93" si="38">1.3*K93</f>
        <v>5928</v>
      </c>
      <c r="AC93" s="80" t="s">
        <v>448</v>
      </c>
      <c r="AD93" s="83" t="s">
        <v>472</v>
      </c>
      <c r="AE93" s="83" t="s">
        <v>473</v>
      </c>
      <c r="AF93" s="83" t="s">
        <v>474</v>
      </c>
      <c r="AG93" s="80" t="s">
        <v>449</v>
      </c>
    </row>
    <row r="94" spans="1:36" customFormat="1" ht="69" customHeight="1">
      <c r="A94" s="92">
        <v>221.33</v>
      </c>
      <c r="B94" s="93">
        <f t="shared" si="0"/>
        <v>4</v>
      </c>
      <c r="C94" s="58" t="s">
        <v>199</v>
      </c>
      <c r="D94" s="41" t="str">
        <f t="shared" si="1"/>
        <v xml:space="preserve">                        Moderator</v>
      </c>
      <c r="E94" s="41" t="s">
        <v>341</v>
      </c>
      <c r="F94" s="41" t="s">
        <v>199</v>
      </c>
      <c r="G94" s="41" t="s">
        <v>332</v>
      </c>
      <c r="H94" s="91"/>
      <c r="I94" s="91"/>
      <c r="K94" s="63">
        <v>1520</v>
      </c>
      <c r="L94" s="51" t="s">
        <v>174</v>
      </c>
      <c r="M94" s="61" t="s">
        <v>334</v>
      </c>
      <c r="O94" s="51" t="s">
        <v>173</v>
      </c>
      <c r="Q94" s="68">
        <v>2017</v>
      </c>
      <c r="R94" s="51" t="s">
        <v>73</v>
      </c>
      <c r="S94" s="61" t="s">
        <v>335</v>
      </c>
      <c r="T94" s="65" t="s">
        <v>336</v>
      </c>
      <c r="W94" s="80" t="s">
        <v>464</v>
      </c>
      <c r="Z94" s="80" t="s">
        <v>448</v>
      </c>
      <c r="AA94" s="83">
        <f t="shared" si="26"/>
        <v>1368</v>
      </c>
      <c r="AB94" s="83">
        <f t="shared" si="27"/>
        <v>1976</v>
      </c>
      <c r="AC94" s="80" t="s">
        <v>448</v>
      </c>
      <c r="AD94" s="83" t="s">
        <v>472</v>
      </c>
      <c r="AE94" s="83" t="s">
        <v>473</v>
      </c>
      <c r="AF94" s="83" t="s">
        <v>474</v>
      </c>
      <c r="AG94" s="80" t="s">
        <v>449</v>
      </c>
    </row>
    <row r="95" spans="1:36" customFormat="1" ht="69" customHeight="1">
      <c r="A95" s="92">
        <v>221.34</v>
      </c>
      <c r="B95" s="93">
        <f t="shared" si="0"/>
        <v>4</v>
      </c>
      <c r="C95" s="58" t="s">
        <v>441</v>
      </c>
      <c r="D95" s="41" t="str">
        <f t="shared" si="1"/>
        <v xml:space="preserve">                        Moderator (Booster)</v>
      </c>
      <c r="E95" s="41" t="s">
        <v>341</v>
      </c>
      <c r="F95" s="41" t="s">
        <v>450</v>
      </c>
      <c r="G95" s="41" t="s">
        <v>556</v>
      </c>
      <c r="H95" s="91"/>
      <c r="I95" s="91"/>
      <c r="K95" s="63">
        <v>4560</v>
      </c>
      <c r="L95" s="51" t="s">
        <v>174</v>
      </c>
      <c r="M95" s="61" t="s">
        <v>439</v>
      </c>
      <c r="O95" s="51" t="s">
        <v>173</v>
      </c>
      <c r="Q95" s="68">
        <v>2017</v>
      </c>
      <c r="R95" s="51" t="s">
        <v>73</v>
      </c>
      <c r="S95" s="61"/>
      <c r="T95" s="65"/>
      <c r="W95" s="80" t="s">
        <v>464</v>
      </c>
      <c r="Z95" s="80" t="s">
        <v>448</v>
      </c>
      <c r="AA95" s="83">
        <f t="shared" si="26"/>
        <v>4104</v>
      </c>
      <c r="AB95" s="83">
        <f t="shared" si="27"/>
        <v>5928</v>
      </c>
      <c r="AC95" s="80" t="s">
        <v>448</v>
      </c>
      <c r="AD95" s="83" t="s">
        <v>472</v>
      </c>
      <c r="AE95" s="83" t="s">
        <v>473</v>
      </c>
      <c r="AF95" s="83" t="s">
        <v>474</v>
      </c>
      <c r="AG95" s="80" t="s">
        <v>449</v>
      </c>
    </row>
    <row r="96" spans="1:36" customFormat="1" ht="69" customHeight="1">
      <c r="A96" s="92">
        <v>221.34</v>
      </c>
      <c r="B96" s="93">
        <f t="shared" si="0"/>
        <v>4</v>
      </c>
      <c r="C96" s="58" t="s">
        <v>441</v>
      </c>
      <c r="D96" s="41" t="str">
        <f t="shared" si="1"/>
        <v xml:space="preserve">                        Moderator (Booster)</v>
      </c>
      <c r="E96" s="41" t="s">
        <v>341</v>
      </c>
      <c r="F96" s="41" t="s">
        <v>450</v>
      </c>
      <c r="G96" s="41" t="s">
        <v>333</v>
      </c>
      <c r="H96" s="91"/>
      <c r="I96" s="91"/>
      <c r="K96" s="63">
        <v>80</v>
      </c>
      <c r="L96" s="51" t="s">
        <v>174</v>
      </c>
      <c r="M96" s="61" t="s">
        <v>439</v>
      </c>
      <c r="O96" s="51" t="s">
        <v>173</v>
      </c>
      <c r="Q96" s="68">
        <v>2022</v>
      </c>
      <c r="R96" s="51" t="s">
        <v>73</v>
      </c>
      <c r="S96" s="61" t="s">
        <v>402</v>
      </c>
      <c r="T96" s="65" t="s">
        <v>403</v>
      </c>
      <c r="W96" s="80" t="s">
        <v>464</v>
      </c>
      <c r="Z96" s="80" t="s">
        <v>448</v>
      </c>
      <c r="AA96" s="83">
        <f t="shared" si="26"/>
        <v>72</v>
      </c>
      <c r="AB96" s="83">
        <f t="shared" si="27"/>
        <v>104</v>
      </c>
      <c r="AC96" s="80" t="s">
        <v>448</v>
      </c>
      <c r="AD96" s="83" t="s">
        <v>472</v>
      </c>
      <c r="AE96" s="83" t="s">
        <v>473</v>
      </c>
      <c r="AF96" s="83" t="s">
        <v>474</v>
      </c>
      <c r="AG96" s="80" t="s">
        <v>449</v>
      </c>
    </row>
    <row r="97" spans="1:33" customFormat="1" ht="69" customHeight="1">
      <c r="A97" s="92">
        <v>221.34</v>
      </c>
      <c r="B97" s="93">
        <f t="shared" si="0"/>
        <v>4</v>
      </c>
      <c r="C97" s="58" t="s">
        <v>441</v>
      </c>
      <c r="D97" s="41" t="str">
        <f t="shared" si="1"/>
        <v xml:space="preserve">                        Moderator (Booster)</v>
      </c>
      <c r="E97" s="41" t="s">
        <v>341</v>
      </c>
      <c r="F97" s="41" t="s">
        <v>450</v>
      </c>
      <c r="G97" s="41" t="s">
        <v>332</v>
      </c>
      <c r="H97" s="91"/>
      <c r="I97" s="91"/>
      <c r="K97" s="63">
        <v>1520</v>
      </c>
      <c r="L97" s="51" t="s">
        <v>174</v>
      </c>
      <c r="M97" s="61" t="s">
        <v>439</v>
      </c>
      <c r="O97" s="51" t="s">
        <v>173</v>
      </c>
      <c r="Q97" s="68">
        <v>2017</v>
      </c>
      <c r="R97" s="51" t="s">
        <v>73</v>
      </c>
      <c r="S97" s="61" t="s">
        <v>335</v>
      </c>
      <c r="T97" s="65" t="s">
        <v>336</v>
      </c>
      <c r="W97" s="80" t="s">
        <v>464</v>
      </c>
      <c r="Z97" s="80" t="s">
        <v>448</v>
      </c>
      <c r="AA97" s="83">
        <f t="shared" si="26"/>
        <v>1368</v>
      </c>
      <c r="AB97" s="83">
        <f t="shared" si="27"/>
        <v>1976</v>
      </c>
      <c r="AC97" s="80" t="s">
        <v>448</v>
      </c>
      <c r="AD97" s="83" t="s">
        <v>472</v>
      </c>
      <c r="AE97" s="83" t="s">
        <v>473</v>
      </c>
      <c r="AF97" s="83" t="s">
        <v>474</v>
      </c>
      <c r="AG97" s="80" t="s">
        <v>449</v>
      </c>
    </row>
    <row r="98" spans="1:33" ht="30" customHeight="1">
      <c r="A98" s="55">
        <v>222</v>
      </c>
      <c r="B98" s="40">
        <f t="shared" si="0"/>
        <v>2</v>
      </c>
      <c r="C98" s="58" t="s">
        <v>15</v>
      </c>
      <c r="D98" s="41" t="str">
        <f t="shared" si="1"/>
        <v xml:space="preserve">            Main Heat Transport System</v>
      </c>
      <c r="E98" s="41"/>
      <c r="F98" s="41"/>
      <c r="G98" s="41"/>
      <c r="H98" s="41"/>
      <c r="I98" s="41"/>
      <c r="J98" s="45"/>
      <c r="K98" s="63"/>
      <c r="L98" s="51"/>
      <c r="M98" s="61"/>
      <c r="N98" s="51"/>
      <c r="O98" s="51"/>
      <c r="P98" s="51"/>
      <c r="Q98" s="68"/>
      <c r="R98" s="51"/>
      <c r="S98" s="61"/>
      <c r="T98" s="65"/>
      <c r="U98" s="51"/>
      <c r="V98" s="51"/>
      <c r="W98" s="80"/>
      <c r="X98" s="84"/>
      <c r="Y98" s="84"/>
      <c r="Z98" s="80"/>
      <c r="AA98" s="83"/>
      <c r="AB98" s="83"/>
      <c r="AC98" s="80"/>
      <c r="AD98" s="83"/>
      <c r="AE98" s="83"/>
      <c r="AF98" s="83"/>
      <c r="AG98" s="80"/>
    </row>
    <row r="99" spans="1:33">
      <c r="A99" s="55">
        <v>222.1</v>
      </c>
      <c r="B99" s="40">
        <f t="shared" ref="B99:B104" si="39">IF(ISNUMBER(A99),
    IF(AND(A99=INT(A99), MOD(A99, 10) = 0), 0,
        IF(AND(A99=INT(A99), LEN(A99)=2), 1,
            IF(AND(A99=INT(A99), LEN(A99)=3), 2,
                LEN(A99) - FIND(".", A99) + 2)
        )
    ),
"")</f>
        <v>3</v>
      </c>
      <c r="C99" s="58" t="s">
        <v>352</v>
      </c>
      <c r="D99" s="41" t="str">
        <f t="shared" si="1"/>
        <v xml:space="preserve">                  Fluid Circulation Drive System</v>
      </c>
      <c r="E99" s="41"/>
      <c r="F99" s="41"/>
      <c r="G99" s="41"/>
      <c r="H99" s="41"/>
      <c r="I99" s="41"/>
      <c r="J99" s="45"/>
      <c r="K99" s="68"/>
      <c r="L99" s="51"/>
      <c r="M99" s="61"/>
      <c r="N99" s="51"/>
      <c r="O99" s="51"/>
      <c r="P99" s="51"/>
      <c r="Q99" s="68"/>
      <c r="R99" s="51"/>
      <c r="S99" s="61"/>
      <c r="T99" s="51"/>
      <c r="U99" s="51"/>
      <c r="V99" s="51"/>
      <c r="W99" s="80"/>
      <c r="X99" s="84"/>
      <c r="Y99" s="84"/>
      <c r="Z99" s="80"/>
      <c r="AA99" s="83"/>
      <c r="AB99" s="83"/>
      <c r="AC99" s="80"/>
      <c r="AD99" s="83"/>
      <c r="AE99" s="83"/>
      <c r="AF99" s="83"/>
      <c r="AG99" s="80"/>
    </row>
    <row r="100" spans="1:33" ht="61.2" customHeight="1">
      <c r="A100" s="44">
        <v>222.11</v>
      </c>
      <c r="B100" s="40">
        <f t="shared" si="39"/>
        <v>4</v>
      </c>
      <c r="C100" s="58" t="s">
        <v>348</v>
      </c>
      <c r="D100" s="41" t="str">
        <f>REPT("   ", B100*2) &amp; C100</f>
        <v xml:space="preserve">                        Primary Pump</v>
      </c>
      <c r="E100" s="41" t="s">
        <v>342</v>
      </c>
      <c r="F100" s="41" t="s">
        <v>348</v>
      </c>
      <c r="G100" s="41" t="s">
        <v>355</v>
      </c>
      <c r="H100" s="41"/>
      <c r="I100" s="41"/>
      <c r="J100" s="45"/>
      <c r="K100" s="63">
        <f>12.5*705.48</f>
        <v>8818.5</v>
      </c>
      <c r="L100" s="51" t="s">
        <v>345</v>
      </c>
      <c r="M100" s="61" t="s">
        <v>337</v>
      </c>
      <c r="N100" s="51"/>
      <c r="O100" s="51"/>
      <c r="P100" s="51">
        <v>0.71</v>
      </c>
      <c r="Q100" s="68">
        <v>2003</v>
      </c>
      <c r="R100" s="51" t="s">
        <v>77</v>
      </c>
      <c r="S100" s="61" t="s">
        <v>343</v>
      </c>
      <c r="T100" s="97" t="s">
        <v>445</v>
      </c>
      <c r="U100" s="105" t="s">
        <v>344</v>
      </c>
      <c r="V100" s="97"/>
      <c r="W100" s="80" t="s">
        <v>464</v>
      </c>
      <c r="X100" s="84">
        <f>0.9*$J100</f>
        <v>0</v>
      </c>
      <c r="Y100" s="84">
        <f t="shared" si="25"/>
        <v>0</v>
      </c>
      <c r="Z100" s="80" t="s">
        <v>448</v>
      </c>
      <c r="AA100" s="83">
        <f t="shared" si="26"/>
        <v>7936.6500000000005</v>
      </c>
      <c r="AB100" s="83">
        <f t="shared" si="27"/>
        <v>11464.050000000001</v>
      </c>
      <c r="AC100" s="80" t="s">
        <v>448</v>
      </c>
      <c r="AD100" s="83" t="s">
        <v>472</v>
      </c>
      <c r="AE100" s="83" t="s">
        <v>473</v>
      </c>
      <c r="AF100" s="83" t="s">
        <v>474</v>
      </c>
      <c r="AG100" s="80" t="s">
        <v>449</v>
      </c>
    </row>
    <row r="101" spans="1:33" ht="27">
      <c r="A101" s="44">
        <v>222.12</v>
      </c>
      <c r="B101" s="40">
        <f t="shared" si="39"/>
        <v>4</v>
      </c>
      <c r="C101" s="58" t="s">
        <v>347</v>
      </c>
      <c r="D101" s="41" t="str">
        <f t="shared" si="1"/>
        <v xml:space="preserve">                        Secondary Pump</v>
      </c>
      <c r="E101" s="41" t="s">
        <v>342</v>
      </c>
      <c r="F101" s="41" t="s">
        <v>347</v>
      </c>
      <c r="G101" s="41" t="s">
        <v>355</v>
      </c>
      <c r="H101" s="41"/>
      <c r="I101" s="41"/>
      <c r="J101" s="45"/>
      <c r="K101" s="63">
        <v>705.48</v>
      </c>
      <c r="L101" s="51" t="s">
        <v>345</v>
      </c>
      <c r="M101" s="61" t="s">
        <v>338</v>
      </c>
      <c r="N101" s="51"/>
      <c r="O101" s="51"/>
      <c r="P101" s="51">
        <v>0.71</v>
      </c>
      <c r="Q101" s="68">
        <v>2003</v>
      </c>
      <c r="R101" s="51" t="s">
        <v>77</v>
      </c>
      <c r="S101" s="61" t="s">
        <v>339</v>
      </c>
      <c r="T101" s="97"/>
      <c r="U101" s="106"/>
      <c r="V101" s="97"/>
      <c r="W101" s="80" t="s">
        <v>464</v>
      </c>
      <c r="X101" s="84">
        <f>0.9*$J101</f>
        <v>0</v>
      </c>
      <c r="Y101" s="84">
        <f t="shared" si="25"/>
        <v>0</v>
      </c>
      <c r="Z101" s="80" t="s">
        <v>448</v>
      </c>
      <c r="AA101" s="83">
        <f t="shared" si="26"/>
        <v>634.93200000000002</v>
      </c>
      <c r="AB101" s="83">
        <f t="shared" si="27"/>
        <v>917.12400000000002</v>
      </c>
      <c r="AC101" s="80" t="s">
        <v>448</v>
      </c>
      <c r="AD101" s="83" t="s">
        <v>472</v>
      </c>
      <c r="AE101" s="83" t="s">
        <v>473</v>
      </c>
      <c r="AF101" s="83" t="s">
        <v>474</v>
      </c>
      <c r="AG101" s="80" t="s">
        <v>449</v>
      </c>
    </row>
    <row r="102" spans="1:33" ht="93">
      <c r="A102" s="44">
        <v>222.13</v>
      </c>
      <c r="B102" s="40">
        <f t="shared" si="39"/>
        <v>4</v>
      </c>
      <c r="C102" s="58" t="s">
        <v>353</v>
      </c>
      <c r="D102" s="41" t="str">
        <f t="shared" ref="D102" si="40">REPT("   ", B102*2) &amp; C102</f>
        <v xml:space="preserve">                        Compressor</v>
      </c>
      <c r="E102" s="41" t="s">
        <v>342</v>
      </c>
      <c r="F102" s="41" t="s">
        <v>351</v>
      </c>
      <c r="G102" s="41" t="s">
        <v>354</v>
      </c>
      <c r="H102" s="41"/>
      <c r="I102" s="41"/>
      <c r="J102" s="45"/>
      <c r="K102" s="63">
        <v>7100000</v>
      </c>
      <c r="L102" s="51" t="s">
        <v>411</v>
      </c>
      <c r="M102" s="61"/>
      <c r="N102" s="51"/>
      <c r="O102" s="51"/>
      <c r="P102" s="51"/>
      <c r="Q102" s="68">
        <v>2020</v>
      </c>
      <c r="R102" s="51" t="s">
        <v>77</v>
      </c>
      <c r="S102" s="61" t="s">
        <v>405</v>
      </c>
      <c r="T102" s="65" t="s">
        <v>407</v>
      </c>
      <c r="U102" s="69"/>
      <c r="V102" s="65" t="s">
        <v>500</v>
      </c>
      <c r="W102" s="80" t="s">
        <v>464</v>
      </c>
      <c r="X102" s="84">
        <f>0.9*$J102</f>
        <v>0</v>
      </c>
      <c r="Y102" s="84">
        <f t="shared" si="25"/>
        <v>0</v>
      </c>
      <c r="Z102" s="80" t="s">
        <v>448</v>
      </c>
      <c r="AA102" s="83">
        <f t="shared" si="26"/>
        <v>6390000</v>
      </c>
      <c r="AB102" s="83">
        <f t="shared" si="27"/>
        <v>9230000</v>
      </c>
      <c r="AC102" s="80" t="s">
        <v>448</v>
      </c>
      <c r="AD102" s="83" t="s">
        <v>472</v>
      </c>
      <c r="AE102" s="83" t="s">
        <v>473</v>
      </c>
      <c r="AF102" s="83" t="s">
        <v>474</v>
      </c>
      <c r="AG102" s="80" t="s">
        <v>449</v>
      </c>
    </row>
    <row r="103" spans="1:33" ht="30" customHeight="1">
      <c r="A103" s="55">
        <v>222.2</v>
      </c>
      <c r="B103" s="40">
        <f t="shared" si="39"/>
        <v>3</v>
      </c>
      <c r="C103" s="58" t="s">
        <v>16</v>
      </c>
      <c r="D103" s="41" t="str">
        <f t="shared" si="1"/>
        <v xml:space="preserve">                  Reactor Heat Transfer Piping System</v>
      </c>
      <c r="E103" s="41" t="s">
        <v>341</v>
      </c>
      <c r="F103" s="41"/>
      <c r="G103" s="41"/>
      <c r="H103" s="41"/>
      <c r="I103" s="41"/>
      <c r="J103" s="45"/>
      <c r="K103" s="63">
        <v>20000</v>
      </c>
      <c r="L103" s="51" t="s">
        <v>67</v>
      </c>
      <c r="M103" s="47" t="s">
        <v>71</v>
      </c>
      <c r="N103" s="51"/>
      <c r="O103" s="51"/>
      <c r="P103" s="51"/>
      <c r="Q103" s="68">
        <v>2017</v>
      </c>
      <c r="R103" s="51" t="s">
        <v>74</v>
      </c>
      <c r="S103" s="61" t="s">
        <v>349</v>
      </c>
      <c r="T103" s="61" t="s">
        <v>350</v>
      </c>
      <c r="U103" s="51"/>
      <c r="V103" s="51"/>
      <c r="W103" s="80" t="s">
        <v>464</v>
      </c>
      <c r="X103" s="84">
        <f>0.9*$J103</f>
        <v>0</v>
      </c>
      <c r="Y103" s="84">
        <f t="shared" ref="Y103" si="41">1.5*J103</f>
        <v>0</v>
      </c>
      <c r="Z103" s="80" t="s">
        <v>448</v>
      </c>
      <c r="AA103" s="83">
        <f t="shared" ref="AA103" si="42">0.9*K103</f>
        <v>18000</v>
      </c>
      <c r="AB103" s="83">
        <f t="shared" ref="AB103" si="43">1.3*K103</f>
        <v>26000</v>
      </c>
      <c r="AC103" s="80" t="s">
        <v>448</v>
      </c>
      <c r="AD103" s="83" t="s">
        <v>472</v>
      </c>
      <c r="AE103" s="83" t="s">
        <v>473</v>
      </c>
      <c r="AF103" s="83" t="s">
        <v>474</v>
      </c>
      <c r="AG103" s="80" t="s">
        <v>449</v>
      </c>
    </row>
    <row r="104" spans="1:33">
      <c r="A104" s="55">
        <v>222.3</v>
      </c>
      <c r="B104" s="40">
        <f t="shared" si="39"/>
        <v>3</v>
      </c>
      <c r="C104" s="58" t="s">
        <v>17</v>
      </c>
      <c r="D104" s="41" t="str">
        <f t="shared" si="1"/>
        <v xml:space="preserve">                  Heat Exchangers</v>
      </c>
      <c r="E104" s="41"/>
      <c r="F104" s="41"/>
      <c r="G104" s="41"/>
      <c r="H104" s="41"/>
      <c r="I104" s="41"/>
      <c r="J104" s="45"/>
      <c r="K104" s="63"/>
      <c r="L104" s="51"/>
      <c r="M104" s="61"/>
      <c r="N104" s="51"/>
      <c r="O104" s="51"/>
      <c r="P104" s="51"/>
      <c r="Q104" s="68"/>
      <c r="R104" s="51"/>
      <c r="S104" s="61"/>
      <c r="T104" s="51"/>
      <c r="U104" s="51"/>
      <c r="V104" s="51"/>
      <c r="W104" s="80"/>
      <c r="X104" s="84"/>
      <c r="Y104" s="84"/>
      <c r="Z104" s="80"/>
      <c r="AA104" s="83"/>
      <c r="AB104" s="83"/>
      <c r="AC104" s="80"/>
      <c r="AD104" s="83"/>
      <c r="AE104" s="83"/>
      <c r="AF104" s="83"/>
      <c r="AG104" s="80"/>
    </row>
    <row r="105" spans="1:33" ht="30" customHeight="1">
      <c r="A105" s="55">
        <v>222.31</v>
      </c>
      <c r="B105" s="40">
        <f t="shared" ref="B105" si="44">IF(ISNUMBER(A105),
    IF(AND(A105=INT(A105), MOD(A105, 10) = 0), 0,
        IF(AND(A105=INT(A105), LEN(A105)=2), 1,
            IF(AND(A105=INT(A105), LEN(A105)=3), 2,
                LEN(A105) - FIND(".", A105) + 2)
        )
    ),
"")</f>
        <v>4</v>
      </c>
      <c r="C105" s="58" t="s">
        <v>356</v>
      </c>
      <c r="D105" s="41" t="str">
        <f t="shared" ref="D105" si="45">REPT("   ", B105*2) &amp; C105</f>
        <v xml:space="preserve">                        Primary Heat Exchanger</v>
      </c>
      <c r="E105" s="41" t="s">
        <v>341</v>
      </c>
      <c r="F105" s="41" t="s">
        <v>409</v>
      </c>
      <c r="G105" s="41" t="s">
        <v>408</v>
      </c>
      <c r="H105" s="41"/>
      <c r="I105" s="41"/>
      <c r="J105" s="45"/>
      <c r="K105" s="63">
        <v>50</v>
      </c>
      <c r="L105" s="51" t="s">
        <v>174</v>
      </c>
      <c r="M105" s="61" t="s">
        <v>357</v>
      </c>
      <c r="N105" s="51"/>
      <c r="O105" s="51" t="s">
        <v>173</v>
      </c>
      <c r="P105" s="51"/>
      <c r="Q105" s="68">
        <v>2004</v>
      </c>
      <c r="R105" s="51" t="s">
        <v>74</v>
      </c>
      <c r="S105" s="61" t="s">
        <v>359</v>
      </c>
      <c r="T105" s="65" t="s">
        <v>360</v>
      </c>
      <c r="U105" s="51"/>
      <c r="V105" s="51"/>
      <c r="W105" s="80" t="s">
        <v>464</v>
      </c>
      <c r="X105" s="84">
        <f>0.9*$J105</f>
        <v>0</v>
      </c>
      <c r="Y105" s="84">
        <f t="shared" si="25"/>
        <v>0</v>
      </c>
      <c r="Z105" s="80" t="s">
        <v>448</v>
      </c>
      <c r="AA105" s="83">
        <f t="shared" si="26"/>
        <v>45</v>
      </c>
      <c r="AB105" s="83">
        <f t="shared" si="27"/>
        <v>65</v>
      </c>
      <c r="AC105" s="80" t="s">
        <v>448</v>
      </c>
      <c r="AD105" s="83" t="s">
        <v>472</v>
      </c>
      <c r="AE105" s="83" t="s">
        <v>473</v>
      </c>
      <c r="AF105" s="83" t="s">
        <v>474</v>
      </c>
      <c r="AG105" s="80" t="s">
        <v>449</v>
      </c>
    </row>
    <row r="106" spans="1:33" ht="30" customHeight="1">
      <c r="A106" s="55">
        <v>222.31</v>
      </c>
      <c r="B106" s="40">
        <f t="shared" ref="B106" si="46">IF(ISNUMBER(A106),
    IF(AND(A106=INT(A106), MOD(A106, 10) = 0), 0,
        IF(AND(A106=INT(A106), LEN(A106)=2), 1,
            IF(AND(A106=INT(A106), LEN(A106)=3), 2,
                LEN(A106) - FIND(".", A106) + 2)
        )
    ),
"")</f>
        <v>4</v>
      </c>
      <c r="C106" s="58" t="s">
        <v>356</v>
      </c>
      <c r="D106" s="41" t="str">
        <f t="shared" ref="D106" si="47">REPT("   ", B106*2) &amp; C106</f>
        <v xml:space="preserve">                        Primary Heat Exchanger</v>
      </c>
      <c r="E106" s="41" t="s">
        <v>341</v>
      </c>
      <c r="F106" s="41" t="s">
        <v>409</v>
      </c>
      <c r="G106" s="41" t="s">
        <v>410</v>
      </c>
      <c r="H106" s="41"/>
      <c r="I106" s="41"/>
      <c r="J106" s="45"/>
      <c r="K106" s="63">
        <v>120</v>
      </c>
      <c r="L106" s="51" t="s">
        <v>174</v>
      </c>
      <c r="M106" s="61" t="s">
        <v>357</v>
      </c>
      <c r="N106" s="51"/>
      <c r="O106" s="51" t="s">
        <v>173</v>
      </c>
      <c r="P106" s="51"/>
      <c r="Q106" s="68">
        <v>2013</v>
      </c>
      <c r="R106" s="51" t="s">
        <v>74</v>
      </c>
      <c r="S106" s="61" t="s">
        <v>359</v>
      </c>
      <c r="T106" s="65" t="s">
        <v>361</v>
      </c>
      <c r="U106" s="51"/>
      <c r="V106" s="51"/>
      <c r="W106" s="80" t="s">
        <v>464</v>
      </c>
      <c r="X106" s="84">
        <f>0.9*$J106</f>
        <v>0</v>
      </c>
      <c r="Y106" s="84">
        <f t="shared" si="25"/>
        <v>0</v>
      </c>
      <c r="Z106" s="80" t="s">
        <v>448</v>
      </c>
      <c r="AA106" s="83">
        <f t="shared" si="26"/>
        <v>108</v>
      </c>
      <c r="AB106" s="83">
        <f t="shared" si="27"/>
        <v>156</v>
      </c>
      <c r="AC106" s="80" t="s">
        <v>448</v>
      </c>
      <c r="AD106" s="83" t="s">
        <v>472</v>
      </c>
      <c r="AE106" s="83" t="s">
        <v>473</v>
      </c>
      <c r="AF106" s="83" t="s">
        <v>474</v>
      </c>
      <c r="AG106" s="80" t="s">
        <v>449</v>
      </c>
    </row>
    <row r="107" spans="1:33" ht="30" customHeight="1">
      <c r="A107" s="55">
        <v>222.32</v>
      </c>
      <c r="B107" s="40">
        <f t="shared" ref="B107" si="48">IF(ISNUMBER(A107),
    IF(AND(A107=INT(A107), MOD(A107, 10) = 0), 0,
        IF(AND(A107=INT(A107), LEN(A107)=2), 1,
            IF(AND(A107=INT(A107), LEN(A107)=3), 2,
                LEN(A107) - FIND(".", A107) + 2)
        )
    ),
"")</f>
        <v>4</v>
      </c>
      <c r="C107" s="58" t="s">
        <v>18</v>
      </c>
      <c r="D107" s="41" t="str">
        <f t="shared" ref="D107" si="49">REPT("   ", B107*2) &amp; C107</f>
        <v xml:space="preserve">                        Secondary Heat Exchanger</v>
      </c>
      <c r="E107" s="41" t="s">
        <v>341</v>
      </c>
      <c r="F107" s="41" t="s">
        <v>409</v>
      </c>
      <c r="G107" s="41" t="s">
        <v>408</v>
      </c>
      <c r="H107" s="41"/>
      <c r="I107" s="41"/>
      <c r="J107" s="45"/>
      <c r="K107" s="63">
        <v>50</v>
      </c>
      <c r="L107" s="51" t="s">
        <v>174</v>
      </c>
      <c r="M107" s="61" t="s">
        <v>358</v>
      </c>
      <c r="N107" s="51"/>
      <c r="O107" s="51" t="s">
        <v>173</v>
      </c>
      <c r="P107" s="51"/>
      <c r="Q107" s="68">
        <v>2004</v>
      </c>
      <c r="R107" s="51" t="s">
        <v>74</v>
      </c>
      <c r="S107" s="61" t="s">
        <v>359</v>
      </c>
      <c r="T107" s="65" t="s">
        <v>360</v>
      </c>
      <c r="U107" s="51"/>
      <c r="V107" s="51"/>
      <c r="W107" s="80" t="s">
        <v>464</v>
      </c>
      <c r="X107" s="84">
        <f>0.9*$J107</f>
        <v>0</v>
      </c>
      <c r="Y107" s="84">
        <f t="shared" si="25"/>
        <v>0</v>
      </c>
      <c r="Z107" s="80" t="s">
        <v>448</v>
      </c>
      <c r="AA107" s="83">
        <f t="shared" si="26"/>
        <v>45</v>
      </c>
      <c r="AB107" s="83">
        <f t="shared" si="27"/>
        <v>65</v>
      </c>
      <c r="AC107" s="80" t="s">
        <v>448</v>
      </c>
      <c r="AD107" s="83" t="s">
        <v>472</v>
      </c>
      <c r="AE107" s="83" t="s">
        <v>473</v>
      </c>
      <c r="AF107" s="83" t="s">
        <v>474</v>
      </c>
      <c r="AG107" s="80" t="s">
        <v>449</v>
      </c>
    </row>
    <row r="108" spans="1:33" ht="30" customHeight="1">
      <c r="A108" s="55">
        <v>222.32</v>
      </c>
      <c r="B108" s="40">
        <f t="shared" ref="B108:B113" si="50">IF(ISNUMBER(A108),
    IF(AND(A108=INT(A108), MOD(A108, 10) = 0), 0,
        IF(AND(A108=INT(A108), LEN(A108)=2), 1,
            IF(AND(A108=INT(A108), LEN(A108)=3), 2,
                LEN(A108) - FIND(".", A108) + 2)
        )
    ),
"")</f>
        <v>4</v>
      </c>
      <c r="C108" s="58" t="s">
        <v>18</v>
      </c>
      <c r="D108" s="41" t="str">
        <f t="shared" ref="D108:D113" si="51">REPT("   ", B108*2) &amp; C108</f>
        <v xml:space="preserve">                        Secondary Heat Exchanger</v>
      </c>
      <c r="E108" s="41" t="s">
        <v>341</v>
      </c>
      <c r="F108" s="41" t="s">
        <v>409</v>
      </c>
      <c r="G108" s="41" t="s">
        <v>410</v>
      </c>
      <c r="H108" s="41"/>
      <c r="I108" s="41"/>
      <c r="J108" s="45"/>
      <c r="K108" s="63">
        <v>120</v>
      </c>
      <c r="L108" s="51" t="s">
        <v>174</v>
      </c>
      <c r="M108" s="61" t="s">
        <v>358</v>
      </c>
      <c r="N108" s="51"/>
      <c r="O108" s="51" t="s">
        <v>173</v>
      </c>
      <c r="P108" s="51"/>
      <c r="Q108" s="68">
        <v>2013</v>
      </c>
      <c r="R108" s="51" t="s">
        <v>74</v>
      </c>
      <c r="S108" s="61" t="s">
        <v>359</v>
      </c>
      <c r="T108" s="65" t="s">
        <v>361</v>
      </c>
      <c r="U108" s="51"/>
      <c r="V108" s="51"/>
      <c r="W108" s="80" t="s">
        <v>464</v>
      </c>
      <c r="X108" s="84">
        <f>0.9*$J108</f>
        <v>0</v>
      </c>
      <c r="Y108" s="84">
        <f t="shared" si="25"/>
        <v>0</v>
      </c>
      <c r="Z108" s="80" t="s">
        <v>448</v>
      </c>
      <c r="AA108" s="83">
        <f t="shared" si="26"/>
        <v>108</v>
      </c>
      <c r="AB108" s="83">
        <f t="shared" si="27"/>
        <v>156</v>
      </c>
      <c r="AC108" s="80" t="s">
        <v>448</v>
      </c>
      <c r="AD108" s="83" t="s">
        <v>472</v>
      </c>
      <c r="AE108" s="83" t="s">
        <v>473</v>
      </c>
      <c r="AF108" s="83" t="s">
        <v>474</v>
      </c>
      <c r="AG108" s="80" t="s">
        <v>449</v>
      </c>
    </row>
    <row r="109" spans="1:33" ht="30" customHeight="1">
      <c r="A109" s="55">
        <v>222.5</v>
      </c>
      <c r="B109" s="40">
        <f t="shared" si="50"/>
        <v>3</v>
      </c>
      <c r="C109" s="58" t="s">
        <v>488</v>
      </c>
      <c r="D109" s="41" t="str">
        <f t="shared" si="51"/>
        <v xml:space="preserve">                  Initial Coolant Inventory</v>
      </c>
      <c r="E109" s="41" t="s">
        <v>341</v>
      </c>
      <c r="F109" s="41" t="s">
        <v>489</v>
      </c>
      <c r="G109" s="41" t="s">
        <v>490</v>
      </c>
      <c r="H109" s="41"/>
      <c r="I109" s="41"/>
      <c r="J109" s="45"/>
      <c r="K109" s="63">
        <v>170</v>
      </c>
      <c r="L109" s="51" t="s">
        <v>174</v>
      </c>
      <c r="M109" s="61" t="s">
        <v>494</v>
      </c>
      <c r="N109" s="51"/>
      <c r="O109" s="51" t="s">
        <v>173</v>
      </c>
      <c r="P109" s="51"/>
      <c r="Q109" s="68">
        <v>2024</v>
      </c>
      <c r="R109" s="51" t="s">
        <v>73</v>
      </c>
      <c r="S109" s="61" t="s">
        <v>492</v>
      </c>
      <c r="T109" s="65" t="s">
        <v>492</v>
      </c>
      <c r="U109" s="87" t="s">
        <v>491</v>
      </c>
      <c r="V109" s="51" t="s">
        <v>493</v>
      </c>
      <c r="W109" s="80" t="s">
        <v>465</v>
      </c>
      <c r="X109" s="84">
        <f>0.9*$J109</f>
        <v>0</v>
      </c>
      <c r="Y109" s="84">
        <f t="shared" ref="Y109" si="52">1.5*J109</f>
        <v>0</v>
      </c>
      <c r="Z109" s="80" t="s">
        <v>448</v>
      </c>
      <c r="AA109" s="83">
        <f t="shared" si="26"/>
        <v>153</v>
      </c>
      <c r="AB109" s="83">
        <f t="shared" si="27"/>
        <v>221</v>
      </c>
      <c r="AC109" s="80" t="s">
        <v>448</v>
      </c>
      <c r="AD109" s="83" t="s">
        <v>472</v>
      </c>
      <c r="AE109" s="83" t="s">
        <v>473</v>
      </c>
      <c r="AF109" s="83" t="s">
        <v>474</v>
      </c>
      <c r="AG109" s="80" t="s">
        <v>449</v>
      </c>
    </row>
    <row r="110" spans="1:33" ht="30" customHeight="1">
      <c r="A110" s="55">
        <v>222.5</v>
      </c>
      <c r="B110" s="40">
        <f t="shared" ref="B110" si="53">IF(ISNUMBER(A110),
    IF(AND(A110=INT(A110), MOD(A110, 10) = 0), 0,
        IF(AND(A110=INT(A110), LEN(A110)=2), 1,
            IF(AND(A110=INT(A110), LEN(A110)=3), 2,
                LEN(A110) - FIND(".", A110) + 2)
        )
    ),
"")</f>
        <v>3</v>
      </c>
      <c r="C110" s="58" t="s">
        <v>488</v>
      </c>
      <c r="D110" s="41" t="str">
        <f t="shared" si="51"/>
        <v xml:space="preserve">                  Initial Coolant Inventory</v>
      </c>
      <c r="E110" s="41" t="s">
        <v>341</v>
      </c>
      <c r="F110" s="41" t="s">
        <v>489</v>
      </c>
      <c r="G110" s="41" t="s">
        <v>527</v>
      </c>
      <c r="H110" s="41"/>
      <c r="I110" s="41"/>
      <c r="J110" s="45"/>
      <c r="K110" s="63">
        <v>118</v>
      </c>
      <c r="L110" s="51" t="s">
        <v>174</v>
      </c>
      <c r="M110" s="61" t="s">
        <v>494</v>
      </c>
      <c r="N110" s="51"/>
      <c r="O110" s="51" t="s">
        <v>173</v>
      </c>
      <c r="P110" s="51"/>
      <c r="Q110" s="68">
        <v>2023</v>
      </c>
      <c r="R110" s="51" t="s">
        <v>73</v>
      </c>
      <c r="S110" s="61"/>
      <c r="T110" s="65"/>
      <c r="U110" s="87"/>
      <c r="V110" s="51"/>
      <c r="W110" s="80" t="s">
        <v>465</v>
      </c>
      <c r="X110" s="84"/>
      <c r="Y110" s="84"/>
      <c r="Z110" s="80"/>
      <c r="AA110" s="83">
        <f t="shared" si="26"/>
        <v>106.2</v>
      </c>
      <c r="AB110" s="83">
        <f t="shared" si="27"/>
        <v>153.4</v>
      </c>
      <c r="AC110" s="80" t="s">
        <v>448</v>
      </c>
      <c r="AD110" s="83" t="s">
        <v>472</v>
      </c>
      <c r="AE110" s="83" t="s">
        <v>473</v>
      </c>
      <c r="AF110" s="83">
        <v>0</v>
      </c>
      <c r="AG110" s="80" t="s">
        <v>449</v>
      </c>
    </row>
    <row r="111" spans="1:33" ht="30" customHeight="1">
      <c r="A111" s="55">
        <v>222.6</v>
      </c>
      <c r="B111" s="40">
        <f t="shared" si="50"/>
        <v>3</v>
      </c>
      <c r="C111" s="58" t="s">
        <v>503</v>
      </c>
      <c r="D111" s="41" t="str">
        <f t="shared" si="51"/>
        <v xml:space="preserve">                  Integrated Heat Transfer Vessel</v>
      </c>
      <c r="E111" s="41"/>
      <c r="F111" s="41" t="s">
        <v>351</v>
      </c>
      <c r="G111" s="41" t="s">
        <v>354</v>
      </c>
      <c r="H111" s="41"/>
      <c r="I111" s="41"/>
      <c r="J111" s="45"/>
      <c r="K111" s="63"/>
      <c r="L111" s="51"/>
      <c r="M111" s="61"/>
      <c r="N111" s="51"/>
      <c r="O111" s="51"/>
      <c r="P111" s="51"/>
      <c r="Q111" s="68"/>
      <c r="R111" s="51"/>
      <c r="S111" s="61"/>
      <c r="T111" s="65"/>
      <c r="U111" s="87"/>
      <c r="V111" s="51"/>
      <c r="W111" s="80"/>
      <c r="X111" s="84"/>
      <c r="Y111" s="84"/>
      <c r="Z111" s="80"/>
      <c r="AA111" s="83"/>
      <c r="AB111" s="83"/>
      <c r="AC111" s="80"/>
      <c r="AD111" s="83"/>
      <c r="AE111" s="83"/>
      <c r="AF111" s="83"/>
      <c r="AG111" s="80"/>
    </row>
    <row r="112" spans="1:33" ht="30" customHeight="1">
      <c r="A112" s="55">
        <v>222.61</v>
      </c>
      <c r="B112" s="40">
        <f t="shared" si="50"/>
        <v>4</v>
      </c>
      <c r="C112" s="58" t="s">
        <v>503</v>
      </c>
      <c r="D112" s="41" t="str">
        <f t="shared" si="51"/>
        <v xml:space="preserve">                        Integrated Heat Transfer Vessel</v>
      </c>
      <c r="E112" s="41" t="s">
        <v>341</v>
      </c>
      <c r="F112" s="41" t="s">
        <v>351</v>
      </c>
      <c r="G112" s="41" t="s">
        <v>354</v>
      </c>
      <c r="H112" s="41"/>
      <c r="I112" s="41"/>
      <c r="J112" s="45"/>
      <c r="K112" s="63">
        <v>50</v>
      </c>
      <c r="L112" s="51" t="s">
        <v>174</v>
      </c>
      <c r="M112" s="61" t="s">
        <v>505</v>
      </c>
      <c r="N112" s="51"/>
      <c r="O112" s="51" t="s">
        <v>173</v>
      </c>
      <c r="P112" s="51"/>
      <c r="Q112" s="68">
        <v>2004</v>
      </c>
      <c r="R112" s="51" t="s">
        <v>77</v>
      </c>
      <c r="S112" s="61" t="s">
        <v>359</v>
      </c>
      <c r="T112" s="65" t="s">
        <v>360</v>
      </c>
      <c r="U112" s="87"/>
      <c r="V112" s="111" t="s">
        <v>504</v>
      </c>
      <c r="W112" s="80" t="s">
        <v>464</v>
      </c>
      <c r="X112" s="84">
        <f>0.9*$J112</f>
        <v>0</v>
      </c>
      <c r="Y112" s="84">
        <f t="shared" ref="Y112:Y113" si="54">1.5*J112</f>
        <v>0</v>
      </c>
      <c r="Z112" s="80" t="s">
        <v>448</v>
      </c>
      <c r="AA112" s="83">
        <f t="shared" ref="AA112:AA113" si="55">0.9*K112</f>
        <v>45</v>
      </c>
      <c r="AB112" s="83">
        <f t="shared" ref="AB112:AB113" si="56">1.3*K112</f>
        <v>65</v>
      </c>
      <c r="AC112" s="80" t="s">
        <v>448</v>
      </c>
      <c r="AD112" s="83" t="s">
        <v>472</v>
      </c>
      <c r="AE112" s="83" t="s">
        <v>473</v>
      </c>
      <c r="AF112" s="83" t="s">
        <v>474</v>
      </c>
      <c r="AG112" s="80" t="s">
        <v>449</v>
      </c>
    </row>
    <row r="113" spans="1:33" ht="30" customHeight="1">
      <c r="A113" s="55">
        <v>222.62</v>
      </c>
      <c r="B113" s="40">
        <f t="shared" si="50"/>
        <v>4</v>
      </c>
      <c r="C113" s="58" t="s">
        <v>502</v>
      </c>
      <c r="D113" s="41" t="str">
        <f t="shared" si="51"/>
        <v xml:space="preserve">                        Integrated Heat Transfer System Support</v>
      </c>
      <c r="E113" s="41" t="s">
        <v>341</v>
      </c>
      <c r="F113" s="41" t="s">
        <v>351</v>
      </c>
      <c r="G113" s="41" t="s">
        <v>354</v>
      </c>
      <c r="H113" s="41"/>
      <c r="I113" s="41"/>
      <c r="J113" s="45"/>
      <c r="K113" s="63">
        <f>3171011/N113</f>
        <v>8.1938268733850137</v>
      </c>
      <c r="L113" s="51" t="s">
        <v>174</v>
      </c>
      <c r="M113" s="61" t="s">
        <v>505</v>
      </c>
      <c r="N113" s="51">
        <v>387000</v>
      </c>
      <c r="O113" s="51" t="s">
        <v>173</v>
      </c>
      <c r="P113" s="51">
        <v>0.85</v>
      </c>
      <c r="Q113" s="68">
        <v>2018</v>
      </c>
      <c r="R113" s="51" t="s">
        <v>77</v>
      </c>
      <c r="S113" s="61" t="s">
        <v>396</v>
      </c>
      <c r="T113" s="65" t="s">
        <v>360</v>
      </c>
      <c r="U113" s="87"/>
      <c r="V113" s="112"/>
      <c r="W113" s="80" t="s">
        <v>464</v>
      </c>
      <c r="X113" s="84">
        <f>0.9*$J113</f>
        <v>0</v>
      </c>
      <c r="Y113" s="84">
        <f t="shared" si="54"/>
        <v>0</v>
      </c>
      <c r="Z113" s="80" t="s">
        <v>448</v>
      </c>
      <c r="AA113" s="83">
        <f t="shared" si="55"/>
        <v>7.3744441860465129</v>
      </c>
      <c r="AB113" s="83">
        <f t="shared" si="56"/>
        <v>10.651974935400519</v>
      </c>
      <c r="AC113" s="80" t="s">
        <v>448</v>
      </c>
      <c r="AD113" s="83" t="s">
        <v>472</v>
      </c>
      <c r="AE113" s="83" t="s">
        <v>473</v>
      </c>
      <c r="AF113" s="83" t="s">
        <v>474</v>
      </c>
      <c r="AG113" s="80" t="s">
        <v>449</v>
      </c>
    </row>
    <row r="114" spans="1:33">
      <c r="A114" s="55">
        <v>223</v>
      </c>
      <c r="B114" s="40">
        <f t="shared" si="0"/>
        <v>2</v>
      </c>
      <c r="C114" s="58" t="s">
        <v>19</v>
      </c>
      <c r="D114" s="41" t="str">
        <f t="shared" si="1"/>
        <v xml:space="preserve">            Safety Systems</v>
      </c>
      <c r="E114" s="41"/>
      <c r="F114" s="41"/>
      <c r="G114" s="41"/>
      <c r="H114" s="41"/>
      <c r="I114" s="41"/>
      <c r="J114" s="45"/>
      <c r="K114" s="63"/>
      <c r="L114" s="51"/>
      <c r="M114" s="61"/>
      <c r="N114" s="51"/>
      <c r="O114" s="51"/>
      <c r="P114" s="51"/>
      <c r="Q114" s="68"/>
      <c r="R114" s="51"/>
      <c r="S114" s="61"/>
      <c r="T114" s="51"/>
      <c r="U114" s="51"/>
      <c r="V114" s="51"/>
      <c r="W114" s="80"/>
      <c r="X114" s="84"/>
      <c r="Y114" s="84"/>
      <c r="Z114" s="80"/>
      <c r="AA114" s="83"/>
      <c r="AB114" s="83"/>
      <c r="AC114" s="80"/>
      <c r="AD114" s="83"/>
      <c r="AE114" s="83"/>
      <c r="AF114" s="83"/>
      <c r="AG114" s="80"/>
    </row>
    <row r="115" spans="1:33" ht="27">
      <c r="A115" s="55">
        <v>223.2</v>
      </c>
      <c r="B115" s="40">
        <f t="shared" si="0"/>
        <v>3</v>
      </c>
      <c r="C115" s="58" t="s">
        <v>137</v>
      </c>
      <c r="D115" s="41" t="str">
        <f t="shared" si="1"/>
        <v xml:space="preserve">                  Reactor Cavity Cooling System (Rvacs)</v>
      </c>
      <c r="E115" s="41"/>
      <c r="F115" s="41"/>
      <c r="G115" s="41"/>
      <c r="H115" s="41"/>
      <c r="I115" s="41"/>
      <c r="J115" s="45"/>
      <c r="K115" s="63"/>
      <c r="L115" s="51"/>
      <c r="M115" s="61"/>
      <c r="N115" s="51"/>
      <c r="O115" s="51"/>
      <c r="P115" s="51"/>
      <c r="Q115" s="68"/>
      <c r="R115" s="51"/>
      <c r="S115" s="61"/>
      <c r="T115" s="51"/>
      <c r="U115" s="51"/>
      <c r="V115" s="51"/>
      <c r="W115" s="80"/>
      <c r="X115" s="84"/>
      <c r="Y115" s="84"/>
      <c r="Z115" s="80"/>
      <c r="AA115" s="83"/>
      <c r="AB115" s="83"/>
      <c r="AC115" s="80"/>
      <c r="AD115" s="83"/>
      <c r="AE115" s="83"/>
      <c r="AF115" s="83"/>
      <c r="AG115" s="80"/>
    </row>
    <row r="116" spans="1:33" ht="30" customHeight="1">
      <c r="A116" s="55">
        <v>223.21</v>
      </c>
      <c r="B116" s="40">
        <f t="shared" si="0"/>
        <v>4</v>
      </c>
      <c r="C116" s="58" t="s">
        <v>138</v>
      </c>
      <c r="D116" s="41" t="str">
        <f t="shared" si="1"/>
        <v xml:space="preserve">                        Rvacs (Cooling Vessel)</v>
      </c>
      <c r="E116" s="41" t="s">
        <v>341</v>
      </c>
      <c r="F116" s="41"/>
      <c r="G116" s="47"/>
      <c r="H116" s="47"/>
      <c r="I116" s="47"/>
      <c r="J116" s="68"/>
      <c r="K116" s="63">
        <f>K68</f>
        <v>757.20768746061754</v>
      </c>
      <c r="L116" s="51" t="s">
        <v>174</v>
      </c>
      <c r="M116" s="61" t="s">
        <v>362</v>
      </c>
      <c r="N116" s="51"/>
      <c r="O116" s="51"/>
      <c r="P116" s="51"/>
      <c r="Q116" s="68">
        <v>2017</v>
      </c>
      <c r="R116" s="51" t="s">
        <v>77</v>
      </c>
      <c r="S116" s="61" t="s">
        <v>397</v>
      </c>
      <c r="T116" s="65" t="s">
        <v>350</v>
      </c>
      <c r="U116" s="51"/>
      <c r="V116" s="51"/>
      <c r="W116" s="80" t="s">
        <v>464</v>
      </c>
      <c r="X116" s="84">
        <f t="shared" ref="X116:X121" si="57">0.9*$J116</f>
        <v>0</v>
      </c>
      <c r="Y116" s="84">
        <f t="shared" si="25"/>
        <v>0</v>
      </c>
      <c r="Z116" s="80" t="s">
        <v>448</v>
      </c>
      <c r="AA116" s="83">
        <f t="shared" si="26"/>
        <v>681.48691871455583</v>
      </c>
      <c r="AB116" s="83">
        <f t="shared" si="27"/>
        <v>984.36999369880277</v>
      </c>
      <c r="AC116" s="80" t="s">
        <v>448</v>
      </c>
      <c r="AD116" s="83" t="s">
        <v>472</v>
      </c>
      <c r="AE116" s="83" t="s">
        <v>473</v>
      </c>
      <c r="AF116" s="83" t="s">
        <v>474</v>
      </c>
      <c r="AG116" s="80" t="s">
        <v>449</v>
      </c>
    </row>
    <row r="117" spans="1:33" ht="30" customHeight="1">
      <c r="A117" s="55">
        <v>223.22</v>
      </c>
      <c r="B117" s="40">
        <f t="shared" si="0"/>
        <v>4</v>
      </c>
      <c r="C117" s="58" t="s">
        <v>139</v>
      </c>
      <c r="D117" s="41" t="str">
        <f>REPT("   ", B117*2) &amp; C117</f>
        <v xml:space="preserve">                        Rvacs (Intake Vessel)</v>
      </c>
      <c r="E117" s="41" t="s">
        <v>341</v>
      </c>
      <c r="F117" s="41"/>
      <c r="G117" s="47"/>
      <c r="H117" s="47"/>
      <c r="I117" s="47"/>
      <c r="J117" s="68"/>
      <c r="K117" s="63">
        <f>K116</f>
        <v>757.20768746061754</v>
      </c>
      <c r="L117" s="51" t="s">
        <v>174</v>
      </c>
      <c r="M117" s="61" t="s">
        <v>363</v>
      </c>
      <c r="N117" s="51"/>
      <c r="O117" s="51"/>
      <c r="P117" s="51"/>
      <c r="Q117" s="68">
        <v>2017</v>
      </c>
      <c r="R117" s="51" t="s">
        <v>77</v>
      </c>
      <c r="S117" s="61" t="s">
        <v>397</v>
      </c>
      <c r="T117" s="65" t="s">
        <v>350</v>
      </c>
      <c r="U117" s="51"/>
      <c r="V117" s="51"/>
      <c r="W117" s="80" t="s">
        <v>464</v>
      </c>
      <c r="X117" s="84">
        <f t="shared" si="57"/>
        <v>0</v>
      </c>
      <c r="Y117" s="84">
        <f t="shared" si="25"/>
        <v>0</v>
      </c>
      <c r="Z117" s="80" t="s">
        <v>448</v>
      </c>
      <c r="AA117" s="83">
        <f t="shared" si="26"/>
        <v>681.48691871455583</v>
      </c>
      <c r="AB117" s="83">
        <f t="shared" si="27"/>
        <v>984.36999369880277</v>
      </c>
      <c r="AC117" s="80" t="s">
        <v>448</v>
      </c>
      <c r="AD117" s="83" t="s">
        <v>472</v>
      </c>
      <c r="AE117" s="83" t="s">
        <v>473</v>
      </c>
      <c r="AF117" s="83" t="s">
        <v>474</v>
      </c>
      <c r="AG117" s="80" t="s">
        <v>449</v>
      </c>
    </row>
    <row r="118" spans="1:33" ht="30" customHeight="1">
      <c r="A118" s="55">
        <v>226</v>
      </c>
      <c r="B118" s="40">
        <f t="shared" si="0"/>
        <v>2</v>
      </c>
      <c r="C118" s="58" t="s">
        <v>208</v>
      </c>
      <c r="D118" s="41" t="str">
        <f>REPT("   ", B118*2) &amp; C118</f>
        <v xml:space="preserve">            Other Reactor Plant Equipment</v>
      </c>
      <c r="E118" s="41" t="s">
        <v>341</v>
      </c>
      <c r="F118" s="41" t="s">
        <v>351</v>
      </c>
      <c r="G118" s="47" t="s">
        <v>542</v>
      </c>
      <c r="H118" s="47"/>
      <c r="I118" s="47"/>
      <c r="J118" s="63">
        <f>MARVEL_Cost!C42</f>
        <v>456297</v>
      </c>
      <c r="K118" s="63"/>
      <c r="L118" s="51"/>
      <c r="M118" s="61"/>
      <c r="N118" s="51"/>
      <c r="O118" s="51"/>
      <c r="P118" s="51"/>
      <c r="Q118" s="68">
        <v>2024</v>
      </c>
      <c r="R118" s="51" t="s">
        <v>74</v>
      </c>
      <c r="S118" s="61" t="s">
        <v>364</v>
      </c>
      <c r="T118" s="51"/>
      <c r="U118" s="51"/>
      <c r="V118" s="51"/>
      <c r="W118" s="80" t="s">
        <v>464</v>
      </c>
      <c r="X118" s="84">
        <f t="shared" si="57"/>
        <v>410667.3</v>
      </c>
      <c r="Y118" s="84">
        <f t="shared" si="25"/>
        <v>684445.5</v>
      </c>
      <c r="Z118" s="80" t="s">
        <v>448</v>
      </c>
      <c r="AA118" s="83">
        <f t="shared" si="26"/>
        <v>0</v>
      </c>
      <c r="AB118" s="83">
        <f t="shared" si="27"/>
        <v>0</v>
      </c>
      <c r="AC118" s="80" t="s">
        <v>448</v>
      </c>
      <c r="AD118" s="83" t="s">
        <v>472</v>
      </c>
      <c r="AE118" s="83" t="s">
        <v>473</v>
      </c>
      <c r="AF118" s="83" t="s">
        <v>474</v>
      </c>
      <c r="AG118" s="80" t="s">
        <v>449</v>
      </c>
    </row>
    <row r="119" spans="1:33" ht="30" customHeight="1">
      <c r="A119" s="55">
        <v>226</v>
      </c>
      <c r="B119" s="40">
        <v>2</v>
      </c>
      <c r="C119" s="58" t="s">
        <v>208</v>
      </c>
      <c r="D119" s="41" t="str">
        <f>REPT("   ", B119*2) &amp; C119</f>
        <v xml:space="preserve">            Other Reactor Plant Equipment</v>
      </c>
      <c r="E119" s="41" t="s">
        <v>341</v>
      </c>
      <c r="F119" s="41" t="s">
        <v>351</v>
      </c>
      <c r="G119" s="47" t="s">
        <v>354</v>
      </c>
      <c r="H119" s="47"/>
      <c r="I119" s="47"/>
      <c r="J119" s="63"/>
      <c r="K119" s="63">
        <f>8844770/N119*8.15527886031535</f>
        <v>118207.77405377067</v>
      </c>
      <c r="L119" s="51" t="s">
        <v>411</v>
      </c>
      <c r="M119" s="61" t="s">
        <v>435</v>
      </c>
      <c r="N119" s="51">
        <v>610.21</v>
      </c>
      <c r="O119" s="51" t="s">
        <v>412</v>
      </c>
      <c r="P119" s="51">
        <v>0.6</v>
      </c>
      <c r="Q119" s="68">
        <v>2023</v>
      </c>
      <c r="R119" s="51" t="s">
        <v>77</v>
      </c>
      <c r="S119" s="61" t="s">
        <v>413</v>
      </c>
      <c r="T119" s="51" t="s">
        <v>414</v>
      </c>
      <c r="U119" s="78" t="s">
        <v>415</v>
      </c>
      <c r="V119" s="51" t="s">
        <v>416</v>
      </c>
      <c r="W119" s="80" t="s">
        <v>464</v>
      </c>
      <c r="X119" s="84">
        <f t="shared" si="57"/>
        <v>0</v>
      </c>
      <c r="Y119" s="84">
        <f t="shared" si="25"/>
        <v>0</v>
      </c>
      <c r="Z119" s="80" t="s">
        <v>448</v>
      </c>
      <c r="AA119" s="83">
        <f t="shared" si="26"/>
        <v>106386.9966483936</v>
      </c>
      <c r="AB119" s="83">
        <f t="shared" si="27"/>
        <v>153670.10626990188</v>
      </c>
      <c r="AC119" s="80" t="s">
        <v>448</v>
      </c>
      <c r="AD119" s="83" t="s">
        <v>472</v>
      </c>
      <c r="AE119" s="83" t="s">
        <v>473</v>
      </c>
      <c r="AF119" s="83" t="s">
        <v>474</v>
      </c>
      <c r="AG119" s="80" t="s">
        <v>449</v>
      </c>
    </row>
    <row r="120" spans="1:33" ht="53.4">
      <c r="A120" s="55">
        <v>227</v>
      </c>
      <c r="B120" s="40">
        <f t="shared" ref="B120:B173" si="58">IF(ISNUMBER(A120),
    IF(AND(A120=INT(A120), MOD(A120, 10) = 0), 0,
        IF(AND(A120=INT(A120), LEN(A120)=2), 1,
            IF(AND(A120=INT(A120), LEN(A120)=3), 2,
                LEN(A120) - FIND(".", A120) + 2)
        )
    ),
"")</f>
        <v>2</v>
      </c>
      <c r="C120" s="58" t="s">
        <v>20</v>
      </c>
      <c r="D120" s="41" t="str">
        <f t="shared" ref="D120:D173" si="59">REPT("   ", B120*2) &amp; C120</f>
        <v xml:space="preserve">            Reactor Instrumentation and Control (I&amp;C)</v>
      </c>
      <c r="E120" s="41" t="s">
        <v>341</v>
      </c>
      <c r="F120" s="41"/>
      <c r="G120" s="47"/>
      <c r="H120" s="47"/>
      <c r="I120" s="47"/>
      <c r="J120" s="63">
        <v>8500000</v>
      </c>
      <c r="K120" s="63"/>
      <c r="L120" s="51"/>
      <c r="M120" s="61"/>
      <c r="N120" s="51"/>
      <c r="O120" s="51"/>
      <c r="P120" s="51"/>
      <c r="Q120" s="68">
        <v>2023</v>
      </c>
      <c r="R120" s="51" t="s">
        <v>85</v>
      </c>
      <c r="S120" s="61" t="s">
        <v>417</v>
      </c>
      <c r="T120" s="61" t="s">
        <v>423</v>
      </c>
      <c r="U120" s="78" t="s">
        <v>418</v>
      </c>
      <c r="V120" s="51" t="s">
        <v>434</v>
      </c>
      <c r="W120" s="80" t="s">
        <v>464</v>
      </c>
      <c r="X120" s="84">
        <f t="shared" si="57"/>
        <v>7650000</v>
      </c>
      <c r="Y120" s="84">
        <f t="shared" si="25"/>
        <v>12750000</v>
      </c>
      <c r="Z120" s="80" t="s">
        <v>448</v>
      </c>
      <c r="AA120" s="83">
        <f t="shared" si="26"/>
        <v>0</v>
      </c>
      <c r="AB120" s="83">
        <f t="shared" si="27"/>
        <v>0</v>
      </c>
      <c r="AC120" s="80" t="s">
        <v>448</v>
      </c>
      <c r="AD120" s="83" t="s">
        <v>472</v>
      </c>
      <c r="AE120" s="83" t="s">
        <v>473</v>
      </c>
      <c r="AF120" s="83" t="s">
        <v>474</v>
      </c>
      <c r="AG120" s="80" t="s">
        <v>449</v>
      </c>
    </row>
    <row r="121" spans="1:33">
      <c r="A121" s="55">
        <v>228</v>
      </c>
      <c r="B121" s="40">
        <f t="shared" si="58"/>
        <v>2</v>
      </c>
      <c r="C121" s="58" t="s">
        <v>211</v>
      </c>
      <c r="D121" s="41" t="str">
        <f t="shared" si="59"/>
        <v xml:space="preserve">            Reactor Plant Miscellaneous Items</v>
      </c>
      <c r="E121" s="41" t="s">
        <v>341</v>
      </c>
      <c r="F121" s="41"/>
      <c r="G121" s="47"/>
      <c r="H121" s="47"/>
      <c r="I121" s="47"/>
      <c r="J121" s="63">
        <f>MARVEL_Cost!C44</f>
        <v>30960</v>
      </c>
      <c r="K121" s="63"/>
      <c r="L121" s="51"/>
      <c r="M121" s="61"/>
      <c r="N121" s="51"/>
      <c r="O121" s="51"/>
      <c r="P121" s="51"/>
      <c r="Q121" s="68">
        <v>2024</v>
      </c>
      <c r="R121" s="51" t="s">
        <v>77</v>
      </c>
      <c r="S121" s="61" t="s">
        <v>364</v>
      </c>
      <c r="T121" s="51"/>
      <c r="U121" s="51"/>
      <c r="V121" s="51"/>
      <c r="W121" s="80" t="s">
        <v>464</v>
      </c>
      <c r="X121" s="84">
        <f t="shared" si="57"/>
        <v>27864</v>
      </c>
      <c r="Y121" s="84">
        <f t="shared" si="25"/>
        <v>46440</v>
      </c>
      <c r="Z121" s="80" t="s">
        <v>448</v>
      </c>
      <c r="AA121" s="83">
        <f t="shared" si="26"/>
        <v>0</v>
      </c>
      <c r="AB121" s="83">
        <f t="shared" si="27"/>
        <v>0</v>
      </c>
      <c r="AC121" s="80" t="s">
        <v>448</v>
      </c>
      <c r="AD121" s="83" t="s">
        <v>472</v>
      </c>
      <c r="AE121" s="83" t="s">
        <v>473</v>
      </c>
      <c r="AF121" s="83" t="s">
        <v>474</v>
      </c>
      <c r="AG121" s="80" t="s">
        <v>449</v>
      </c>
    </row>
    <row r="122" spans="1:33">
      <c r="A122" s="39">
        <v>23</v>
      </c>
      <c r="B122" s="40">
        <f t="shared" si="58"/>
        <v>1</v>
      </c>
      <c r="C122" s="58" t="s">
        <v>21</v>
      </c>
      <c r="D122" s="41" t="str">
        <f t="shared" si="59"/>
        <v xml:space="preserve">      Energy Conversion System </v>
      </c>
      <c r="E122" s="41"/>
      <c r="F122" s="41"/>
      <c r="G122" s="47"/>
      <c r="H122" s="47"/>
      <c r="I122" s="47"/>
      <c r="J122" s="68"/>
      <c r="K122" s="63"/>
      <c r="L122" s="51"/>
      <c r="M122" s="61"/>
      <c r="N122" s="51"/>
      <c r="O122" s="51"/>
      <c r="P122" s="51"/>
      <c r="Q122" s="68"/>
      <c r="R122" s="51"/>
      <c r="S122" s="61"/>
      <c r="T122" s="51"/>
      <c r="U122" s="51"/>
      <c r="V122" s="51"/>
      <c r="W122" s="80"/>
      <c r="X122" s="84"/>
      <c r="Y122" s="84"/>
      <c r="Z122" s="80"/>
      <c r="AA122" s="83"/>
      <c r="AB122" s="83"/>
      <c r="AC122" s="80"/>
      <c r="AD122" s="83"/>
      <c r="AE122" s="83"/>
      <c r="AF122" s="83"/>
      <c r="AG122" s="80"/>
    </row>
    <row r="123" spans="1:33">
      <c r="A123" s="55">
        <v>232</v>
      </c>
      <c r="B123" s="40">
        <f t="shared" si="58"/>
        <v>2</v>
      </c>
      <c r="C123" s="58" t="s">
        <v>22</v>
      </c>
      <c r="D123" s="41" t="str">
        <f t="shared" si="59"/>
        <v xml:space="preserve">            Energy Applications</v>
      </c>
      <c r="E123" s="41"/>
      <c r="F123" s="41"/>
      <c r="G123" s="47"/>
      <c r="H123" s="47"/>
      <c r="I123" s="47"/>
      <c r="J123" s="68"/>
      <c r="K123" s="63"/>
      <c r="L123" s="51"/>
      <c r="M123" s="61"/>
      <c r="N123" s="51"/>
      <c r="O123" s="51"/>
      <c r="P123" s="51"/>
      <c r="Q123" s="68"/>
      <c r="R123" s="51"/>
      <c r="S123" s="61"/>
      <c r="T123" s="51"/>
      <c r="U123" s="51"/>
      <c r="V123" s="51"/>
      <c r="W123" s="80"/>
      <c r="X123" s="84"/>
      <c r="Y123" s="84"/>
      <c r="Z123" s="80"/>
      <c r="AA123" s="83"/>
      <c r="AB123" s="83"/>
      <c r="AC123" s="80"/>
      <c r="AD123" s="83"/>
      <c r="AE123" s="83"/>
      <c r="AF123" s="83"/>
      <c r="AG123" s="80"/>
    </row>
    <row r="124" spans="1:33">
      <c r="A124" s="55">
        <v>232.1</v>
      </c>
      <c r="B124" s="40">
        <f t="shared" si="58"/>
        <v>3</v>
      </c>
      <c r="C124" s="58" t="s">
        <v>213</v>
      </c>
      <c r="D124" s="41" t="str">
        <f>REPT("   ", B124*2) &amp; C124</f>
        <v xml:space="preserve">                  Electricity Generation Systems</v>
      </c>
      <c r="E124" s="41" t="s">
        <v>341</v>
      </c>
      <c r="F124" s="41"/>
      <c r="G124" s="47"/>
      <c r="H124" s="47"/>
      <c r="I124" s="47"/>
      <c r="J124" s="68"/>
      <c r="K124" s="70">
        <v>12504</v>
      </c>
      <c r="L124" s="51" t="s">
        <v>419</v>
      </c>
      <c r="M124" s="47" t="s">
        <v>440</v>
      </c>
      <c r="N124" s="51">
        <v>1</v>
      </c>
      <c r="O124" s="51"/>
      <c r="P124" s="47">
        <v>0.77700000000000002</v>
      </c>
      <c r="Q124" s="68">
        <v>2023</v>
      </c>
      <c r="R124" s="51" t="s">
        <v>77</v>
      </c>
      <c r="S124" s="61" t="s">
        <v>420</v>
      </c>
      <c r="T124" s="61" t="s">
        <v>420</v>
      </c>
      <c r="U124" s="78" t="s">
        <v>421</v>
      </c>
      <c r="V124" s="51"/>
      <c r="W124" s="80" t="s">
        <v>537</v>
      </c>
      <c r="X124" s="84">
        <f>0.9*$J124</f>
        <v>0</v>
      </c>
      <c r="Y124" s="84">
        <f t="shared" si="25"/>
        <v>0</v>
      </c>
      <c r="Z124" s="80" t="s">
        <v>448</v>
      </c>
      <c r="AA124" s="83">
        <f t="shared" si="26"/>
        <v>11253.6</v>
      </c>
      <c r="AB124" s="83">
        <f t="shared" si="27"/>
        <v>16255.2</v>
      </c>
      <c r="AC124" s="80" t="s">
        <v>448</v>
      </c>
      <c r="AD124" s="83" t="s">
        <v>472</v>
      </c>
      <c r="AE124" s="83" t="s">
        <v>473</v>
      </c>
      <c r="AF124" s="83" t="s">
        <v>474</v>
      </c>
      <c r="AG124" s="80" t="s">
        <v>449</v>
      </c>
    </row>
    <row r="125" spans="1:33" ht="53.4">
      <c r="A125" s="55">
        <v>236</v>
      </c>
      <c r="B125" s="40">
        <f t="shared" si="58"/>
        <v>2</v>
      </c>
      <c r="C125" s="58" t="s">
        <v>422</v>
      </c>
      <c r="D125" s="41" t="str">
        <f>REPT("   ", B125*2) &amp; C125</f>
        <v xml:space="preserve">            Common Instrumentation &amp; Controls</v>
      </c>
      <c r="E125" s="41" t="s">
        <v>341</v>
      </c>
      <c r="F125" s="41"/>
      <c r="G125" s="47"/>
      <c r="H125" s="47"/>
      <c r="I125" s="47"/>
      <c r="J125" s="70">
        <v>1000000</v>
      </c>
      <c r="K125" s="70"/>
      <c r="L125" s="51"/>
      <c r="M125" s="47"/>
      <c r="N125" s="51"/>
      <c r="O125" s="51"/>
      <c r="P125" s="47"/>
      <c r="Q125" s="68">
        <v>2023</v>
      </c>
      <c r="R125" s="51" t="s">
        <v>77</v>
      </c>
      <c r="S125" s="61" t="s">
        <v>417</v>
      </c>
      <c r="T125" s="61" t="s">
        <v>423</v>
      </c>
      <c r="U125" s="78" t="s">
        <v>418</v>
      </c>
      <c r="V125" s="51"/>
      <c r="W125" s="80" t="s">
        <v>464</v>
      </c>
      <c r="X125" s="84">
        <f>0.9*$J125</f>
        <v>900000</v>
      </c>
      <c r="Y125" s="84">
        <f t="shared" si="25"/>
        <v>1500000</v>
      </c>
      <c r="Z125" s="80" t="s">
        <v>448</v>
      </c>
      <c r="AA125" s="83"/>
      <c r="AB125" s="83"/>
      <c r="AC125" s="80" t="s">
        <v>467</v>
      </c>
      <c r="AD125" s="83" t="s">
        <v>467</v>
      </c>
      <c r="AE125" s="83" t="s">
        <v>467</v>
      </c>
      <c r="AF125" s="83" t="s">
        <v>467</v>
      </c>
      <c r="AG125" s="80" t="s">
        <v>467</v>
      </c>
    </row>
    <row r="126" spans="1:33">
      <c r="A126" s="39">
        <v>24</v>
      </c>
      <c r="B126" s="40">
        <f t="shared" si="58"/>
        <v>1</v>
      </c>
      <c r="C126" s="58" t="s">
        <v>23</v>
      </c>
      <c r="D126" s="41" t="str">
        <f t="shared" si="59"/>
        <v xml:space="preserve">      Electrical Equipment</v>
      </c>
      <c r="E126" s="41"/>
      <c r="F126" s="41"/>
      <c r="G126" s="47"/>
      <c r="H126" s="47"/>
      <c r="I126" s="47"/>
      <c r="J126" s="68"/>
      <c r="K126" s="63"/>
      <c r="L126" s="51"/>
      <c r="M126" s="61"/>
      <c r="N126" s="51"/>
      <c r="O126" s="51"/>
      <c r="P126" s="51"/>
      <c r="Q126" s="68"/>
      <c r="R126" s="51"/>
      <c r="S126" s="61"/>
      <c r="T126" s="51"/>
      <c r="U126" s="51"/>
      <c r="V126" s="51"/>
      <c r="W126" s="80"/>
      <c r="X126" s="84"/>
      <c r="Y126" s="84"/>
      <c r="Z126" s="80"/>
      <c r="AA126" s="83"/>
      <c r="AB126" s="83"/>
      <c r="AC126" s="80"/>
      <c r="AD126" s="83"/>
      <c r="AE126" s="83"/>
      <c r="AF126" s="83"/>
      <c r="AG126" s="80"/>
    </row>
    <row r="127" spans="1:33">
      <c r="A127" s="39">
        <v>241</v>
      </c>
      <c r="B127" s="40">
        <f t="shared" si="58"/>
        <v>2</v>
      </c>
      <c r="C127" s="79" t="s">
        <v>425</v>
      </c>
      <c r="D127" s="41" t="str">
        <f t="shared" si="59"/>
        <v xml:space="preserve">            Switchgear</v>
      </c>
      <c r="E127" s="41" t="s">
        <v>341</v>
      </c>
      <c r="F127" s="41"/>
      <c r="G127" s="47"/>
      <c r="H127" s="47"/>
      <c r="I127" s="47"/>
      <c r="J127" s="68"/>
      <c r="K127" s="63">
        <f>14424707.2061682/N127</f>
        <v>12609.009795601574</v>
      </c>
      <c r="L127" s="51" t="s">
        <v>67</v>
      </c>
      <c r="M127" s="47" t="s">
        <v>71</v>
      </c>
      <c r="N127" s="51">
        <v>1144</v>
      </c>
      <c r="O127" s="51" t="s">
        <v>69</v>
      </c>
      <c r="P127" s="47">
        <v>0.6</v>
      </c>
      <c r="Q127" s="68">
        <v>2018</v>
      </c>
      <c r="R127" s="51" t="s">
        <v>77</v>
      </c>
      <c r="S127" s="107" t="s">
        <v>424</v>
      </c>
      <c r="T127" s="107" t="s">
        <v>365</v>
      </c>
      <c r="U127" s="51"/>
      <c r="V127" s="51"/>
      <c r="W127" s="80" t="s">
        <v>537</v>
      </c>
      <c r="X127" s="84">
        <f t="shared" ref="X127:X132" si="60">0.9*$J127</f>
        <v>0</v>
      </c>
      <c r="Y127" s="84">
        <f t="shared" si="25"/>
        <v>0</v>
      </c>
      <c r="Z127" s="80" t="s">
        <v>467</v>
      </c>
      <c r="AA127" s="83">
        <f t="shared" si="26"/>
        <v>11348.108816041417</v>
      </c>
      <c r="AB127" s="83">
        <f t="shared" si="27"/>
        <v>16391.712734282046</v>
      </c>
      <c r="AC127" s="80" t="s">
        <v>448</v>
      </c>
      <c r="AD127" s="83">
        <v>0.1</v>
      </c>
      <c r="AE127" s="83">
        <v>1</v>
      </c>
      <c r="AF127" s="83">
        <v>0</v>
      </c>
      <c r="AG127" s="80" t="s">
        <v>449</v>
      </c>
    </row>
    <row r="128" spans="1:33">
      <c r="A128" s="39">
        <v>242</v>
      </c>
      <c r="B128" s="40">
        <f t="shared" si="58"/>
        <v>2</v>
      </c>
      <c r="C128" s="79" t="s">
        <v>426</v>
      </c>
      <c r="D128" s="41" t="str">
        <f t="shared" si="59"/>
        <v xml:space="preserve">            Station Service Equipment</v>
      </c>
      <c r="E128" s="41" t="s">
        <v>341</v>
      </c>
      <c r="F128" s="41"/>
      <c r="G128" s="47"/>
      <c r="H128" s="47"/>
      <c r="I128" s="47"/>
      <c r="J128" s="68"/>
      <c r="K128" s="63">
        <f>11992641.3775456/N127</f>
        <v>10483.078127225175</v>
      </c>
      <c r="L128" s="51" t="s">
        <v>67</v>
      </c>
      <c r="M128" s="47" t="s">
        <v>71</v>
      </c>
      <c r="N128" s="51">
        <v>1144</v>
      </c>
      <c r="O128" s="51" t="s">
        <v>69</v>
      </c>
      <c r="P128" s="47">
        <v>0.6</v>
      </c>
      <c r="Q128" s="68">
        <v>2018</v>
      </c>
      <c r="R128" s="51" t="s">
        <v>77</v>
      </c>
      <c r="S128" s="107"/>
      <c r="T128" s="107"/>
      <c r="U128" s="51"/>
      <c r="V128" s="51"/>
      <c r="W128" s="80" t="s">
        <v>537</v>
      </c>
      <c r="X128" s="84">
        <f t="shared" si="60"/>
        <v>0</v>
      </c>
      <c r="Y128" s="84">
        <f t="shared" si="25"/>
        <v>0</v>
      </c>
      <c r="Z128" s="80" t="s">
        <v>467</v>
      </c>
      <c r="AA128" s="83">
        <f t="shared" si="26"/>
        <v>9434.7703145026571</v>
      </c>
      <c r="AB128" s="83">
        <f t="shared" si="27"/>
        <v>13628.001565392728</v>
      </c>
      <c r="AC128" s="80" t="s">
        <v>448</v>
      </c>
      <c r="AD128" s="83">
        <v>0.1</v>
      </c>
      <c r="AE128" s="83">
        <v>1</v>
      </c>
      <c r="AF128" s="83">
        <v>0</v>
      </c>
      <c r="AG128" s="80" t="s">
        <v>449</v>
      </c>
    </row>
    <row r="129" spans="1:33">
      <c r="A129" s="39">
        <v>243</v>
      </c>
      <c r="B129" s="40">
        <f t="shared" si="58"/>
        <v>2</v>
      </c>
      <c r="C129" s="79" t="s">
        <v>427</v>
      </c>
      <c r="D129" s="41" t="str">
        <f t="shared" si="59"/>
        <v xml:space="preserve">            Switchboards</v>
      </c>
      <c r="E129" s="41" t="s">
        <v>341</v>
      </c>
      <c r="F129" s="41"/>
      <c r="G129" s="47"/>
      <c r="H129" s="47"/>
      <c r="I129" s="47"/>
      <c r="J129" s="68"/>
      <c r="K129" s="63">
        <f>3894246.37400843/N127</f>
        <v>3404.0615157416346</v>
      </c>
      <c r="L129" s="51" t="s">
        <v>67</v>
      </c>
      <c r="M129" s="47" t="s">
        <v>71</v>
      </c>
      <c r="N129" s="51">
        <v>1144</v>
      </c>
      <c r="O129" s="51" t="s">
        <v>69</v>
      </c>
      <c r="P129" s="47">
        <v>0.6</v>
      </c>
      <c r="Q129" s="68">
        <v>2018</v>
      </c>
      <c r="R129" s="51" t="s">
        <v>77</v>
      </c>
      <c r="S129" s="107"/>
      <c r="T129" s="107"/>
      <c r="U129" s="51"/>
      <c r="V129" s="51"/>
      <c r="W129" s="80" t="s">
        <v>537</v>
      </c>
      <c r="X129" s="84">
        <f t="shared" si="60"/>
        <v>0</v>
      </c>
      <c r="Y129" s="84">
        <f t="shared" si="25"/>
        <v>0</v>
      </c>
      <c r="Z129" s="80" t="s">
        <v>467</v>
      </c>
      <c r="AA129" s="83">
        <f t="shared" si="26"/>
        <v>3063.6553641674714</v>
      </c>
      <c r="AB129" s="83">
        <f t="shared" si="27"/>
        <v>4425.2799704641247</v>
      </c>
      <c r="AC129" s="80" t="s">
        <v>448</v>
      </c>
      <c r="AD129" s="83">
        <v>0.1</v>
      </c>
      <c r="AE129" s="83">
        <v>1</v>
      </c>
      <c r="AF129" s="83">
        <v>0</v>
      </c>
      <c r="AG129" s="80" t="s">
        <v>449</v>
      </c>
    </row>
    <row r="130" spans="1:33">
      <c r="A130" s="39">
        <v>244</v>
      </c>
      <c r="B130" s="40">
        <f t="shared" si="58"/>
        <v>2</v>
      </c>
      <c r="C130" s="79" t="s">
        <v>428</v>
      </c>
      <c r="D130" s="41" t="str">
        <f t="shared" si="59"/>
        <v xml:space="preserve">            Protective Equipment</v>
      </c>
      <c r="E130" s="41" t="s">
        <v>341</v>
      </c>
      <c r="F130" s="41"/>
      <c r="G130" s="47"/>
      <c r="H130" s="47"/>
      <c r="I130" s="47"/>
      <c r="J130" s="68"/>
      <c r="K130" s="63">
        <f>11183911.9256997/N127</f>
        <v>9776.1467881990375</v>
      </c>
      <c r="L130" s="51" t="s">
        <v>67</v>
      </c>
      <c r="M130" s="47" t="s">
        <v>71</v>
      </c>
      <c r="N130" s="51">
        <v>1144</v>
      </c>
      <c r="O130" s="51" t="s">
        <v>69</v>
      </c>
      <c r="P130" s="47">
        <v>0.6</v>
      </c>
      <c r="Q130" s="68">
        <v>2018</v>
      </c>
      <c r="R130" s="51" t="s">
        <v>77</v>
      </c>
      <c r="S130" s="107"/>
      <c r="T130" s="107"/>
      <c r="U130" s="51"/>
      <c r="V130" s="51"/>
      <c r="W130" s="80" t="s">
        <v>537</v>
      </c>
      <c r="X130" s="84">
        <f t="shared" si="60"/>
        <v>0</v>
      </c>
      <c r="Y130" s="84">
        <f t="shared" si="25"/>
        <v>0</v>
      </c>
      <c r="Z130" s="80" t="s">
        <v>467</v>
      </c>
      <c r="AA130" s="83">
        <f t="shared" si="26"/>
        <v>8798.5321093791335</v>
      </c>
      <c r="AB130" s="83">
        <f t="shared" si="27"/>
        <v>12708.990824658749</v>
      </c>
      <c r="AC130" s="80" t="s">
        <v>448</v>
      </c>
      <c r="AD130" s="83">
        <v>0.1</v>
      </c>
      <c r="AE130" s="83">
        <v>1</v>
      </c>
      <c r="AF130" s="83">
        <v>0</v>
      </c>
      <c r="AG130" s="80" t="s">
        <v>449</v>
      </c>
    </row>
    <row r="131" spans="1:33" ht="27">
      <c r="A131" s="39">
        <v>245</v>
      </c>
      <c r="B131" s="40">
        <f t="shared" si="58"/>
        <v>2</v>
      </c>
      <c r="C131" s="79" t="s">
        <v>429</v>
      </c>
      <c r="D131" s="41" t="str">
        <f t="shared" si="59"/>
        <v xml:space="preserve">            Electrical Structure &amp; Wiring Container</v>
      </c>
      <c r="E131" s="41" t="s">
        <v>341</v>
      </c>
      <c r="F131" s="41"/>
      <c r="G131" s="47"/>
      <c r="H131" s="47"/>
      <c r="I131" s="47"/>
      <c r="J131" s="68"/>
      <c r="K131" s="63">
        <f>60312483.673456/N127</f>
        <v>52720.70251176224</v>
      </c>
      <c r="L131" s="51" t="s">
        <v>67</v>
      </c>
      <c r="M131" s="47" t="s">
        <v>71</v>
      </c>
      <c r="N131" s="51">
        <v>1144</v>
      </c>
      <c r="O131" s="51" t="s">
        <v>69</v>
      </c>
      <c r="P131" s="47">
        <v>0.6</v>
      </c>
      <c r="Q131" s="68">
        <v>2018</v>
      </c>
      <c r="R131" s="51" t="s">
        <v>77</v>
      </c>
      <c r="S131" s="107"/>
      <c r="T131" s="107"/>
      <c r="U131" s="51"/>
      <c r="V131" s="51"/>
      <c r="W131" s="80" t="s">
        <v>537</v>
      </c>
      <c r="X131" s="84">
        <f t="shared" si="60"/>
        <v>0</v>
      </c>
      <c r="Y131" s="84">
        <f t="shared" si="25"/>
        <v>0</v>
      </c>
      <c r="Z131" s="80" t="s">
        <v>467</v>
      </c>
      <c r="AA131" s="83">
        <f t="shared" si="26"/>
        <v>47448.632260586019</v>
      </c>
      <c r="AB131" s="83">
        <f t="shared" si="27"/>
        <v>68536.913265290917</v>
      </c>
      <c r="AC131" s="80" t="s">
        <v>448</v>
      </c>
      <c r="AD131" s="83">
        <v>0.1</v>
      </c>
      <c r="AE131" s="83">
        <v>1</v>
      </c>
      <c r="AF131" s="83">
        <v>0</v>
      </c>
      <c r="AG131" s="80" t="s">
        <v>449</v>
      </c>
    </row>
    <row r="132" spans="1:33">
      <c r="A132" s="39">
        <v>246</v>
      </c>
      <c r="B132" s="40">
        <f t="shared" si="58"/>
        <v>2</v>
      </c>
      <c r="C132" s="79" t="s">
        <v>430</v>
      </c>
      <c r="D132" s="41" t="str">
        <f t="shared" si="59"/>
        <v xml:space="preserve">            Power &amp; Control Wiring</v>
      </c>
      <c r="E132" s="41" t="s">
        <v>341</v>
      </c>
      <c r="F132" s="41"/>
      <c r="G132" s="47"/>
      <c r="H132" s="47"/>
      <c r="I132" s="47"/>
      <c r="J132" s="68"/>
      <c r="K132" s="63">
        <f>45613077.4753702/N127</f>
        <v>39871.571219729194</v>
      </c>
      <c r="L132" s="51" t="s">
        <v>67</v>
      </c>
      <c r="M132" s="47" t="s">
        <v>71</v>
      </c>
      <c r="N132" s="51">
        <v>1144</v>
      </c>
      <c r="O132" s="51" t="s">
        <v>69</v>
      </c>
      <c r="P132" s="47">
        <v>0.6</v>
      </c>
      <c r="Q132" s="68">
        <v>2018</v>
      </c>
      <c r="R132" s="51" t="s">
        <v>77</v>
      </c>
      <c r="S132" s="107"/>
      <c r="T132" s="107"/>
      <c r="U132" s="51"/>
      <c r="V132" s="51"/>
      <c r="W132" s="80" t="s">
        <v>537</v>
      </c>
      <c r="X132" s="84">
        <f t="shared" si="60"/>
        <v>0</v>
      </c>
      <c r="Y132" s="84">
        <f t="shared" si="25"/>
        <v>0</v>
      </c>
      <c r="Z132" s="80" t="s">
        <v>467</v>
      </c>
      <c r="AA132" s="83">
        <f t="shared" si="26"/>
        <v>35884.414097756278</v>
      </c>
      <c r="AB132" s="83">
        <f t="shared" si="27"/>
        <v>51833.042585647956</v>
      </c>
      <c r="AC132" s="80" t="s">
        <v>448</v>
      </c>
      <c r="AD132" s="83">
        <v>0.1</v>
      </c>
      <c r="AE132" s="83">
        <v>1</v>
      </c>
      <c r="AF132" s="83">
        <v>0</v>
      </c>
      <c r="AG132" s="80" t="s">
        <v>449</v>
      </c>
    </row>
    <row r="133" spans="1:33">
      <c r="A133" s="39">
        <v>25</v>
      </c>
      <c r="B133" s="40">
        <f t="shared" si="58"/>
        <v>1</v>
      </c>
      <c r="C133" s="58" t="s">
        <v>24</v>
      </c>
      <c r="D133" s="41" t="str">
        <f t="shared" si="59"/>
        <v xml:space="preserve">      Initial Fuel Inventory</v>
      </c>
      <c r="E133" s="41"/>
      <c r="F133" s="41"/>
      <c r="G133" s="47"/>
      <c r="H133" s="47"/>
      <c r="I133" s="47"/>
      <c r="J133" s="68"/>
      <c r="K133" s="63"/>
      <c r="L133" s="51"/>
      <c r="M133" s="61"/>
      <c r="N133" s="51"/>
      <c r="O133" s="51"/>
      <c r="P133" s="51"/>
      <c r="Q133" s="68"/>
      <c r="R133" s="51"/>
      <c r="S133" s="61"/>
      <c r="T133" s="51"/>
      <c r="U133" s="51"/>
      <c r="V133" s="51"/>
      <c r="W133" s="80"/>
      <c r="X133" s="84"/>
      <c r="Y133" s="84"/>
      <c r="Z133" s="80"/>
      <c r="AA133" s="83"/>
      <c r="AB133" s="83"/>
      <c r="AC133" s="80"/>
      <c r="AD133" s="83"/>
      <c r="AE133" s="83"/>
      <c r="AF133" s="83"/>
      <c r="AG133" s="80"/>
    </row>
    <row r="134" spans="1:33" ht="16.2" customHeight="1">
      <c r="A134" s="55">
        <v>251</v>
      </c>
      <c r="B134" s="40">
        <f t="shared" si="58"/>
        <v>2</v>
      </c>
      <c r="C134" s="58" t="s">
        <v>25</v>
      </c>
      <c r="D134" s="41" t="str">
        <f t="shared" si="59"/>
        <v xml:space="preserve">            First Core Mining</v>
      </c>
      <c r="E134" s="41" t="s">
        <v>341</v>
      </c>
      <c r="F134" s="41"/>
      <c r="G134" s="47"/>
      <c r="H134" s="47"/>
      <c r="I134" s="47"/>
      <c r="J134" s="68"/>
      <c r="K134" s="68">
        <v>184</v>
      </c>
      <c r="L134" s="51" t="s">
        <v>174</v>
      </c>
      <c r="M134" s="47" t="s">
        <v>367</v>
      </c>
      <c r="N134" s="51"/>
      <c r="O134" s="51"/>
      <c r="P134" s="51"/>
      <c r="Q134" s="68">
        <v>2022</v>
      </c>
      <c r="R134" s="51" t="s">
        <v>73</v>
      </c>
      <c r="S134" s="97" t="s">
        <v>552</v>
      </c>
      <c r="T134" s="97" t="s">
        <v>553</v>
      </c>
      <c r="U134" s="51"/>
      <c r="V134" s="51"/>
      <c r="W134" s="80" t="s">
        <v>465</v>
      </c>
      <c r="X134" s="84">
        <f t="shared" ref="X134:X140" si="61">0.9*$J134</f>
        <v>0</v>
      </c>
      <c r="Y134" s="84">
        <f t="shared" si="25"/>
        <v>0</v>
      </c>
      <c r="Z134" s="80" t="s">
        <v>448</v>
      </c>
      <c r="AA134" s="83">
        <f t="shared" si="26"/>
        <v>165.6</v>
      </c>
      <c r="AB134" s="83">
        <f t="shared" si="27"/>
        <v>239.20000000000002</v>
      </c>
      <c r="AC134" s="80" t="s">
        <v>448</v>
      </c>
      <c r="AD134" s="83" t="s">
        <v>472</v>
      </c>
      <c r="AE134" s="83" t="s">
        <v>473</v>
      </c>
      <c r="AF134" s="83" t="s">
        <v>474</v>
      </c>
      <c r="AG134" s="80" t="s">
        <v>449</v>
      </c>
    </row>
    <row r="135" spans="1:33">
      <c r="A135" s="55">
        <v>252</v>
      </c>
      <c r="B135" s="40">
        <f t="shared" si="58"/>
        <v>2</v>
      </c>
      <c r="C135" s="58" t="s">
        <v>26</v>
      </c>
      <c r="D135" s="41" t="str">
        <f t="shared" si="59"/>
        <v xml:space="preserve">            First Core Conversion </v>
      </c>
      <c r="E135" s="41" t="s">
        <v>341</v>
      </c>
      <c r="F135" s="41"/>
      <c r="G135" s="47"/>
      <c r="H135" s="47"/>
      <c r="I135" s="47"/>
      <c r="J135" s="68"/>
      <c r="K135" s="68">
        <v>15.1</v>
      </c>
      <c r="L135" s="51" t="s">
        <v>174</v>
      </c>
      <c r="M135" s="47" t="s">
        <v>367</v>
      </c>
      <c r="N135" s="51"/>
      <c r="O135" s="51"/>
      <c r="P135" s="51"/>
      <c r="Q135" s="68">
        <v>2022</v>
      </c>
      <c r="R135" s="51" t="s">
        <v>73</v>
      </c>
      <c r="S135" s="97"/>
      <c r="T135" s="97"/>
      <c r="U135" s="51"/>
      <c r="V135" s="51"/>
      <c r="W135" s="80" t="s">
        <v>465</v>
      </c>
      <c r="X135" s="84">
        <f t="shared" si="61"/>
        <v>0</v>
      </c>
      <c r="Y135" s="84">
        <f t="shared" si="25"/>
        <v>0</v>
      </c>
      <c r="Z135" s="80" t="s">
        <v>448</v>
      </c>
      <c r="AA135" s="83">
        <f t="shared" si="26"/>
        <v>13.59</v>
      </c>
      <c r="AB135" s="83">
        <f t="shared" si="27"/>
        <v>19.63</v>
      </c>
      <c r="AC135" s="80" t="s">
        <v>448</v>
      </c>
      <c r="AD135" s="83" t="s">
        <v>472</v>
      </c>
      <c r="AE135" s="83" t="s">
        <v>473</v>
      </c>
      <c r="AF135" s="83" t="s">
        <v>474</v>
      </c>
      <c r="AG135" s="80" t="s">
        <v>449</v>
      </c>
    </row>
    <row r="136" spans="1:33">
      <c r="A136" s="55">
        <v>253</v>
      </c>
      <c r="B136" s="40">
        <f t="shared" si="58"/>
        <v>2</v>
      </c>
      <c r="C136" s="58" t="s">
        <v>27</v>
      </c>
      <c r="D136" s="41" t="str">
        <f t="shared" si="59"/>
        <v xml:space="preserve">            First Core Enrichment </v>
      </c>
      <c r="E136" s="41" t="s">
        <v>342</v>
      </c>
      <c r="F136" s="41"/>
      <c r="G136" s="47"/>
      <c r="H136" s="47"/>
      <c r="I136" s="47"/>
      <c r="J136" s="68"/>
      <c r="K136" s="68">
        <v>184.2</v>
      </c>
      <c r="L136" s="51" t="s">
        <v>366</v>
      </c>
      <c r="M136" s="61" t="s">
        <v>368</v>
      </c>
      <c r="N136" s="51"/>
      <c r="O136" s="51"/>
      <c r="P136" s="51">
        <v>1</v>
      </c>
      <c r="Q136" s="68">
        <v>2022</v>
      </c>
      <c r="R136" s="51" t="s">
        <v>73</v>
      </c>
      <c r="S136" s="97"/>
      <c r="T136" s="97"/>
      <c r="U136" s="51"/>
      <c r="V136" s="51"/>
      <c r="W136" s="80" t="s">
        <v>465</v>
      </c>
      <c r="X136" s="84">
        <f t="shared" si="61"/>
        <v>0</v>
      </c>
      <c r="Y136" s="84">
        <f t="shared" si="25"/>
        <v>0</v>
      </c>
      <c r="Z136" s="80" t="s">
        <v>448</v>
      </c>
      <c r="AA136" s="83">
        <f t="shared" si="26"/>
        <v>165.78</v>
      </c>
      <c r="AB136" s="83">
        <f t="shared" si="27"/>
        <v>239.45999999999998</v>
      </c>
      <c r="AC136" s="80" t="s">
        <v>448</v>
      </c>
      <c r="AD136" s="83" t="s">
        <v>472</v>
      </c>
      <c r="AE136" s="83" t="s">
        <v>473</v>
      </c>
      <c r="AF136" s="83" t="s">
        <v>474</v>
      </c>
      <c r="AG136" s="80" t="s">
        <v>449</v>
      </c>
    </row>
    <row r="137" spans="1:33" ht="27">
      <c r="A137" s="55">
        <v>254</v>
      </c>
      <c r="B137" s="40">
        <f t="shared" si="58"/>
        <v>2</v>
      </c>
      <c r="C137" s="58" t="s">
        <v>28</v>
      </c>
      <c r="D137" s="41" t="str">
        <f t="shared" si="59"/>
        <v xml:space="preserve">            First Core Fuel Assembly Fabrication </v>
      </c>
      <c r="E137" s="41" t="s">
        <v>341</v>
      </c>
      <c r="F137" s="41" t="s">
        <v>370</v>
      </c>
      <c r="G137" s="47" t="s">
        <v>371</v>
      </c>
      <c r="H137" s="47" t="s">
        <v>249</v>
      </c>
      <c r="I137" s="47" t="s">
        <v>555</v>
      </c>
      <c r="J137" s="68"/>
      <c r="K137" s="68">
        <v>1520</v>
      </c>
      <c r="L137" s="51" t="s">
        <v>174</v>
      </c>
      <c r="M137" s="61" t="s">
        <v>369</v>
      </c>
      <c r="N137" s="51"/>
      <c r="O137" s="51"/>
      <c r="P137" s="51"/>
      <c r="Q137" s="68">
        <v>2023</v>
      </c>
      <c r="R137" s="51" t="s">
        <v>73</v>
      </c>
      <c r="S137" s="97"/>
      <c r="T137" s="97"/>
      <c r="U137" s="51"/>
      <c r="V137" s="51"/>
      <c r="W137" s="80" t="s">
        <v>464</v>
      </c>
      <c r="X137" s="84">
        <f t="shared" si="61"/>
        <v>0</v>
      </c>
      <c r="Y137" s="84">
        <f t="shared" si="25"/>
        <v>0</v>
      </c>
      <c r="Z137" s="80" t="s">
        <v>448</v>
      </c>
      <c r="AA137" s="83">
        <f t="shared" si="26"/>
        <v>1368</v>
      </c>
      <c r="AB137" s="83">
        <f t="shared" si="27"/>
        <v>1976</v>
      </c>
      <c r="AC137" s="80" t="s">
        <v>448</v>
      </c>
      <c r="AD137" s="83" t="s">
        <v>472</v>
      </c>
      <c r="AE137" s="83" t="s">
        <v>473</v>
      </c>
      <c r="AF137" s="83" t="s">
        <v>474</v>
      </c>
      <c r="AG137" s="80" t="s">
        <v>449</v>
      </c>
    </row>
    <row r="138" spans="1:33" ht="27">
      <c r="A138" s="55">
        <v>254</v>
      </c>
      <c r="B138" s="40">
        <f t="shared" ref="B138" si="62">IF(ISNUMBER(A138),
    IF(AND(A138=INT(A138), MOD(A138, 10) = 0), 0,
        IF(AND(A138=INT(A138), LEN(A138)=2), 1,
            IF(AND(A138=INT(A138), LEN(A138)=3), 2,
                LEN(A138) - FIND(".", A138) + 2)
        )
    ),
"")</f>
        <v>2</v>
      </c>
      <c r="C138" s="58" t="s">
        <v>28</v>
      </c>
      <c r="D138" s="41" t="str">
        <f t="shared" ref="D138" si="63">REPT("   ", B138*2) &amp; C138</f>
        <v xml:space="preserve">            First Core Fuel Assembly Fabrication </v>
      </c>
      <c r="E138" s="41" t="s">
        <v>341</v>
      </c>
      <c r="F138" s="41" t="s">
        <v>370</v>
      </c>
      <c r="G138" s="47" t="s">
        <v>371</v>
      </c>
      <c r="H138" s="47" t="s">
        <v>249</v>
      </c>
      <c r="I138" s="47" t="s">
        <v>551</v>
      </c>
      <c r="J138" s="68"/>
      <c r="K138" s="68">
        <v>250</v>
      </c>
      <c r="L138" s="51" t="s">
        <v>174</v>
      </c>
      <c r="M138" s="61" t="s">
        <v>369</v>
      </c>
      <c r="N138" s="51"/>
      <c r="O138" s="51"/>
      <c r="P138" s="51"/>
      <c r="Q138" s="68">
        <v>2023</v>
      </c>
      <c r="R138" s="51" t="s">
        <v>73</v>
      </c>
      <c r="S138" s="97"/>
      <c r="T138" s="97"/>
      <c r="U138" s="51"/>
      <c r="V138" s="51"/>
      <c r="W138" s="80" t="s">
        <v>464</v>
      </c>
      <c r="X138" s="84">
        <f t="shared" si="61"/>
        <v>0</v>
      </c>
      <c r="Y138" s="84">
        <f t="shared" ref="Y138" si="64">1.5*J138</f>
        <v>0</v>
      </c>
      <c r="Z138" s="80" t="s">
        <v>448</v>
      </c>
      <c r="AA138" s="83">
        <f t="shared" ref="AA138" si="65">0.9*K138</f>
        <v>225</v>
      </c>
      <c r="AB138" s="83">
        <f t="shared" ref="AB138" si="66">1.3*K138</f>
        <v>325</v>
      </c>
      <c r="AC138" s="80" t="s">
        <v>448</v>
      </c>
      <c r="AD138" s="83" t="s">
        <v>472</v>
      </c>
      <c r="AE138" s="83" t="s">
        <v>473</v>
      </c>
      <c r="AF138" s="83" t="s">
        <v>474</v>
      </c>
      <c r="AG138" s="80" t="s">
        <v>449</v>
      </c>
    </row>
    <row r="139" spans="1:33" ht="27">
      <c r="A139" s="55">
        <v>254</v>
      </c>
      <c r="B139" s="40">
        <f t="shared" ref="B139" si="67">IF(ISNUMBER(A139),
    IF(AND(A139=INT(A139), MOD(A139, 10) = 0), 0,
        IF(AND(A139=INT(A139), LEN(A139)=2), 1,
            IF(AND(A139=INT(A139), LEN(A139)=3), 2,
                LEN(A139) - FIND(".", A139) + 2)
        )
    ),
"")</f>
        <v>2</v>
      </c>
      <c r="C139" s="58" t="s">
        <v>28</v>
      </c>
      <c r="D139" s="41" t="str">
        <f t="shared" ref="D139" si="68">REPT("   ", B139*2) &amp; C139</f>
        <v xml:space="preserve">            First Core Fuel Assembly Fabrication </v>
      </c>
      <c r="E139" s="41" t="s">
        <v>341</v>
      </c>
      <c r="F139" s="41" t="s">
        <v>370</v>
      </c>
      <c r="G139" s="47" t="s">
        <v>355</v>
      </c>
      <c r="H139" s="47"/>
      <c r="I139" s="47"/>
      <c r="J139" s="68"/>
      <c r="K139" s="68">
        <v>10000</v>
      </c>
      <c r="L139" s="51" t="s">
        <v>174</v>
      </c>
      <c r="M139" s="61" t="s">
        <v>369</v>
      </c>
      <c r="N139" s="51"/>
      <c r="O139" s="51"/>
      <c r="P139" s="51"/>
      <c r="Q139" s="68">
        <v>2009</v>
      </c>
      <c r="R139" s="51" t="s">
        <v>73</v>
      </c>
      <c r="S139" s="97"/>
      <c r="T139" s="97"/>
      <c r="U139" s="51"/>
      <c r="V139" s="51"/>
      <c r="W139" s="80" t="s">
        <v>464</v>
      </c>
      <c r="X139" s="84">
        <f t="shared" si="61"/>
        <v>0</v>
      </c>
      <c r="Y139" s="84">
        <f t="shared" si="25"/>
        <v>0</v>
      </c>
      <c r="Z139" s="80" t="s">
        <v>448</v>
      </c>
      <c r="AA139" s="83">
        <f t="shared" si="26"/>
        <v>9000</v>
      </c>
      <c r="AB139" s="83">
        <f t="shared" si="27"/>
        <v>13000</v>
      </c>
      <c r="AC139" s="80" t="s">
        <v>448</v>
      </c>
      <c r="AD139" s="83" t="s">
        <v>472</v>
      </c>
      <c r="AE139" s="83" t="s">
        <v>473</v>
      </c>
      <c r="AF139" s="83" t="s">
        <v>474</v>
      </c>
      <c r="AG139" s="80" t="s">
        <v>449</v>
      </c>
    </row>
    <row r="140" spans="1:33" ht="30" customHeight="1">
      <c r="A140" s="39">
        <v>26</v>
      </c>
      <c r="B140" s="40">
        <f t="shared" si="58"/>
        <v>1</v>
      </c>
      <c r="C140" s="58" t="s">
        <v>140</v>
      </c>
      <c r="D140" s="41" t="str">
        <f t="shared" si="59"/>
        <v xml:space="preserve">      Miscellaneous Equipment (Cranes)</v>
      </c>
      <c r="E140" s="41" t="s">
        <v>341</v>
      </c>
      <c r="F140" s="41"/>
      <c r="G140" s="41"/>
      <c r="H140" s="41"/>
      <c r="I140" s="41"/>
      <c r="J140" s="63">
        <v>1000000</v>
      </c>
      <c r="K140" s="68"/>
      <c r="L140" s="51"/>
      <c r="M140" s="61"/>
      <c r="N140" s="51"/>
      <c r="O140" s="51"/>
      <c r="P140" s="51"/>
      <c r="Q140" s="68">
        <v>2021</v>
      </c>
      <c r="R140" s="51" t="s">
        <v>74</v>
      </c>
      <c r="S140" s="61" t="s">
        <v>372</v>
      </c>
      <c r="T140" s="61" t="s">
        <v>373</v>
      </c>
      <c r="U140" s="51"/>
      <c r="V140" s="51"/>
      <c r="W140" s="80" t="s">
        <v>464</v>
      </c>
      <c r="X140" s="84">
        <f t="shared" si="61"/>
        <v>900000</v>
      </c>
      <c r="Y140" s="84">
        <f t="shared" si="25"/>
        <v>1500000</v>
      </c>
      <c r="Z140" s="80" t="s">
        <v>448</v>
      </c>
      <c r="AA140" s="83">
        <f t="shared" si="26"/>
        <v>0</v>
      </c>
      <c r="AB140" s="83">
        <f t="shared" si="27"/>
        <v>0</v>
      </c>
      <c r="AC140" s="80" t="s">
        <v>448</v>
      </c>
      <c r="AD140" s="83" t="s">
        <v>472</v>
      </c>
      <c r="AE140" s="83" t="s">
        <v>473</v>
      </c>
      <c r="AF140" s="83" t="s">
        <v>474</v>
      </c>
      <c r="AG140" s="80" t="s">
        <v>449</v>
      </c>
    </row>
    <row r="141" spans="1:33" ht="27">
      <c r="A141" s="52">
        <v>30</v>
      </c>
      <c r="B141" s="40">
        <f>IF(ISNUMBER(A141),
    IF(AND(A141=INT(A141), MOD(A141, 10) = 0), 0,
        IF(AND(A141=INT(A141), LEN(A141)=2), 1,
            IF(AND(A141=INT(A141), LEN(A141)=3), 2,
                LEN(A141) - FIND(".", A141) + 2)
        )
    ),
"")</f>
        <v>0</v>
      </c>
      <c r="C141" s="58" t="s">
        <v>29</v>
      </c>
      <c r="D141" s="41" t="str">
        <f t="shared" si="59"/>
        <v>Capitalized Indirect Services Cost</v>
      </c>
      <c r="E141" s="41"/>
      <c r="F141" s="41"/>
      <c r="G141" s="41"/>
      <c r="H141" s="41"/>
      <c r="I141" s="41"/>
      <c r="J141" s="71"/>
      <c r="K141" s="53"/>
      <c r="L141" s="52"/>
      <c r="M141" s="52"/>
      <c r="N141" s="52"/>
      <c r="O141" s="52"/>
      <c r="P141" s="52"/>
      <c r="Q141" s="71"/>
      <c r="R141" s="52"/>
      <c r="S141" s="52"/>
      <c r="T141" s="52"/>
      <c r="U141" s="52"/>
      <c r="V141" s="52"/>
      <c r="W141" s="80"/>
      <c r="X141" s="84"/>
      <c r="Y141" s="84"/>
      <c r="Z141" s="80"/>
      <c r="AA141" s="83"/>
      <c r="AB141" s="83"/>
      <c r="AC141" s="80"/>
      <c r="AD141" s="83"/>
      <c r="AE141" s="83"/>
      <c r="AF141" s="83"/>
      <c r="AG141" s="80"/>
    </row>
    <row r="142" spans="1:33" ht="28.95" customHeight="1">
      <c r="A142" s="52">
        <v>31</v>
      </c>
      <c r="B142" s="40">
        <v>1</v>
      </c>
      <c r="C142" s="58" t="s">
        <v>374</v>
      </c>
      <c r="D142" s="41" t="str">
        <f t="shared" si="59"/>
        <v xml:space="preserve">      Factory &amp; field indirect costs</v>
      </c>
      <c r="E142" s="41"/>
      <c r="F142" s="41"/>
      <c r="G142" s="41"/>
      <c r="H142" s="41"/>
      <c r="I142" s="41"/>
      <c r="J142" s="71"/>
      <c r="K142" s="72"/>
      <c r="L142" s="51"/>
      <c r="M142" s="61"/>
      <c r="N142" s="52"/>
      <c r="O142" s="52"/>
      <c r="P142" s="52"/>
      <c r="Q142" s="68"/>
      <c r="R142" s="51"/>
      <c r="S142" s="52"/>
      <c r="T142" s="52"/>
      <c r="U142" s="52"/>
      <c r="V142" s="52"/>
      <c r="W142" s="80"/>
      <c r="X142" s="84"/>
      <c r="Y142" s="84"/>
      <c r="Z142" s="80"/>
      <c r="AA142" s="83"/>
      <c r="AB142" s="83"/>
      <c r="AC142" s="80"/>
      <c r="AD142" s="83"/>
      <c r="AE142" s="83"/>
      <c r="AF142" s="83"/>
      <c r="AG142" s="80"/>
    </row>
    <row r="143" spans="1:33" ht="27">
      <c r="A143" s="52">
        <v>32</v>
      </c>
      <c r="B143" s="40">
        <v>1</v>
      </c>
      <c r="C143" s="58" t="s">
        <v>375</v>
      </c>
      <c r="D143" s="41" t="str">
        <f t="shared" si="59"/>
        <v xml:space="preserve">      Factory and construction supervision</v>
      </c>
      <c r="E143" s="41"/>
      <c r="F143" s="41"/>
      <c r="G143" s="41"/>
      <c r="H143" s="41"/>
      <c r="I143" s="41"/>
      <c r="J143" s="71"/>
      <c r="K143" s="53"/>
      <c r="L143" s="52"/>
      <c r="M143" s="52"/>
      <c r="N143" s="52"/>
      <c r="O143" s="52"/>
      <c r="P143" s="52"/>
      <c r="Q143" s="68"/>
      <c r="R143" s="51"/>
      <c r="S143" s="52"/>
      <c r="T143" s="52"/>
      <c r="U143" s="52"/>
      <c r="V143" s="52"/>
      <c r="W143" s="80"/>
      <c r="X143" s="84"/>
      <c r="Y143" s="84"/>
      <c r="Z143" s="80"/>
      <c r="AA143" s="83"/>
      <c r="AB143" s="83"/>
      <c r="AC143" s="80"/>
      <c r="AD143" s="83"/>
      <c r="AE143" s="83"/>
      <c r="AF143" s="83"/>
      <c r="AG143" s="80"/>
    </row>
    <row r="144" spans="1:33">
      <c r="A144" s="39">
        <v>33</v>
      </c>
      <c r="B144" s="40">
        <f t="shared" si="58"/>
        <v>1</v>
      </c>
      <c r="C144" s="58" t="s">
        <v>31</v>
      </c>
      <c r="D144" s="41" t="str">
        <f t="shared" si="59"/>
        <v xml:space="preserve">      Startup Costs</v>
      </c>
      <c r="E144" s="41" t="s">
        <v>341</v>
      </c>
      <c r="F144" s="41"/>
      <c r="G144" s="41"/>
      <c r="H144" s="41"/>
      <c r="I144" s="41"/>
      <c r="J144" s="45">
        <f>MARVEL_Cost!C58</f>
        <v>2407166.4000000004</v>
      </c>
      <c r="K144" s="46"/>
      <c r="L144" s="48"/>
      <c r="M144" s="54"/>
      <c r="N144" s="48"/>
      <c r="O144" s="48"/>
      <c r="P144" s="48"/>
      <c r="Q144" s="68">
        <v>2024</v>
      </c>
      <c r="R144" s="73" t="s">
        <v>85</v>
      </c>
      <c r="S144" s="98" t="s">
        <v>364</v>
      </c>
      <c r="T144" s="48"/>
      <c r="U144" s="48"/>
      <c r="V144" s="48"/>
      <c r="W144" s="80" t="s">
        <v>468</v>
      </c>
      <c r="X144" s="84">
        <f>0.9*$J144</f>
        <v>2166449.7600000002</v>
      </c>
      <c r="Y144" s="84">
        <f t="shared" si="25"/>
        <v>3610749.6000000006</v>
      </c>
      <c r="Z144" s="80" t="s">
        <v>448</v>
      </c>
      <c r="AA144" s="83">
        <f t="shared" si="26"/>
        <v>0</v>
      </c>
      <c r="AB144" s="83">
        <f t="shared" si="27"/>
        <v>0</v>
      </c>
      <c r="AC144" s="80" t="s">
        <v>448</v>
      </c>
      <c r="AD144" s="83" t="s">
        <v>472</v>
      </c>
      <c r="AE144" s="83" t="s">
        <v>473</v>
      </c>
      <c r="AF144" s="83" t="s">
        <v>474</v>
      </c>
      <c r="AG144" s="80" t="s">
        <v>449</v>
      </c>
    </row>
    <row r="145" spans="1:33" ht="30" customHeight="1">
      <c r="A145" s="39">
        <v>34</v>
      </c>
      <c r="B145" s="40">
        <f t="shared" si="58"/>
        <v>1</v>
      </c>
      <c r="C145" s="58" t="s">
        <v>32</v>
      </c>
      <c r="D145" s="41" t="str">
        <f t="shared" si="59"/>
        <v xml:space="preserve">      Shipping and Transportation Costs</v>
      </c>
      <c r="E145" s="41" t="s">
        <v>341</v>
      </c>
      <c r="F145" s="41"/>
      <c r="G145" s="41"/>
      <c r="H145" s="41"/>
      <c r="I145" s="41"/>
      <c r="J145" s="45">
        <f>0.5*MARVEL_Cost!C62</f>
        <v>832641.39999999991</v>
      </c>
      <c r="K145" s="46"/>
      <c r="L145" s="48"/>
      <c r="M145" s="54"/>
      <c r="N145" s="48"/>
      <c r="O145" s="48"/>
      <c r="P145" s="48"/>
      <c r="Q145" s="68">
        <v>2024</v>
      </c>
      <c r="R145" s="73" t="s">
        <v>85</v>
      </c>
      <c r="S145" s="98"/>
      <c r="T145" s="48"/>
      <c r="U145" s="48"/>
      <c r="V145" s="48"/>
      <c r="W145" s="80" t="s">
        <v>468</v>
      </c>
      <c r="X145" s="84">
        <f>0.9*$J145</f>
        <v>749377.25999999989</v>
      </c>
      <c r="Y145" s="84">
        <f t="shared" si="25"/>
        <v>1248962.0999999999</v>
      </c>
      <c r="Z145" s="80" t="s">
        <v>448</v>
      </c>
      <c r="AA145" s="83">
        <f t="shared" si="26"/>
        <v>0</v>
      </c>
      <c r="AB145" s="83">
        <f t="shared" si="27"/>
        <v>0</v>
      </c>
      <c r="AC145" s="80" t="s">
        <v>448</v>
      </c>
      <c r="AD145" s="83" t="s">
        <v>472</v>
      </c>
      <c r="AE145" s="83" t="s">
        <v>473</v>
      </c>
      <c r="AF145" s="83" t="s">
        <v>474</v>
      </c>
      <c r="AG145" s="80" t="s">
        <v>449</v>
      </c>
    </row>
    <row r="146" spans="1:33">
      <c r="A146" s="39">
        <v>35</v>
      </c>
      <c r="B146" s="40">
        <f t="shared" si="58"/>
        <v>1</v>
      </c>
      <c r="C146" s="58" t="s">
        <v>33</v>
      </c>
      <c r="D146" s="41" t="str">
        <f t="shared" si="59"/>
        <v xml:space="preserve">      Engineering Services</v>
      </c>
      <c r="E146" s="41" t="s">
        <v>341</v>
      </c>
      <c r="F146" s="41"/>
      <c r="G146" s="41"/>
      <c r="H146" s="41"/>
      <c r="I146" s="41"/>
      <c r="J146" s="45">
        <f>MARVEL_Cost!C65</f>
        <v>620313.58773783164</v>
      </c>
      <c r="K146" s="63"/>
      <c r="L146" s="51"/>
      <c r="M146" s="61"/>
      <c r="N146" s="51"/>
      <c r="O146" s="51"/>
      <c r="P146" s="51"/>
      <c r="Q146" s="68">
        <v>2024</v>
      </c>
      <c r="R146" s="51" t="s">
        <v>72</v>
      </c>
      <c r="S146" s="98"/>
      <c r="T146" s="51"/>
      <c r="U146" s="51"/>
      <c r="V146" s="51"/>
      <c r="W146" s="80" t="s">
        <v>468</v>
      </c>
      <c r="X146" s="84">
        <f>0.9*$J146</f>
        <v>558282.22896404844</v>
      </c>
      <c r="Y146" s="84">
        <f t="shared" si="25"/>
        <v>930470.3816067474</v>
      </c>
      <c r="Z146" s="80" t="s">
        <v>448</v>
      </c>
      <c r="AA146" s="83">
        <f t="shared" si="26"/>
        <v>0</v>
      </c>
      <c r="AB146" s="83">
        <f t="shared" si="27"/>
        <v>0</v>
      </c>
      <c r="AC146" s="80" t="s">
        <v>448</v>
      </c>
      <c r="AD146" s="83" t="s">
        <v>472</v>
      </c>
      <c r="AE146" s="83" t="s">
        <v>473</v>
      </c>
      <c r="AF146" s="83" t="s">
        <v>474</v>
      </c>
      <c r="AG146" s="80" t="s">
        <v>449</v>
      </c>
    </row>
    <row r="147" spans="1:33">
      <c r="A147" s="39">
        <v>36</v>
      </c>
      <c r="B147" s="40">
        <f t="shared" si="58"/>
        <v>1</v>
      </c>
      <c r="C147" s="58" t="s">
        <v>230</v>
      </c>
      <c r="D147" s="41" t="str">
        <f t="shared" si="59"/>
        <v xml:space="preserve">      PM/CM Services</v>
      </c>
      <c r="E147" s="41" t="s">
        <v>341</v>
      </c>
      <c r="F147" s="41"/>
      <c r="G147" s="41"/>
      <c r="H147" s="41"/>
      <c r="I147" s="41"/>
      <c r="J147" s="45">
        <f>MARVEL_Cost!C68</f>
        <v>416958.9359999997</v>
      </c>
      <c r="K147" s="63"/>
      <c r="L147" s="51"/>
      <c r="M147" s="61"/>
      <c r="N147" s="51"/>
      <c r="O147" s="51"/>
      <c r="P147" s="51"/>
      <c r="Q147" s="68">
        <v>2024</v>
      </c>
      <c r="R147" s="51" t="s">
        <v>72</v>
      </c>
      <c r="S147" s="98"/>
      <c r="T147" s="51"/>
      <c r="U147" s="51"/>
      <c r="V147" s="51"/>
      <c r="W147" s="80" t="s">
        <v>468</v>
      </c>
      <c r="X147" s="84">
        <f>0.9*$J147</f>
        <v>375263.04239999974</v>
      </c>
      <c r="Y147" s="84">
        <f t="shared" si="25"/>
        <v>625438.40399999951</v>
      </c>
      <c r="Z147" s="80" t="s">
        <v>448</v>
      </c>
      <c r="AA147" s="83">
        <f t="shared" si="26"/>
        <v>0</v>
      </c>
      <c r="AB147" s="83">
        <f t="shared" si="27"/>
        <v>0</v>
      </c>
      <c r="AC147" s="80" t="s">
        <v>448</v>
      </c>
      <c r="AD147" s="83" t="s">
        <v>472</v>
      </c>
      <c r="AE147" s="83" t="s">
        <v>473</v>
      </c>
      <c r="AF147" s="83" t="s">
        <v>474</v>
      </c>
      <c r="AG147" s="80" t="s">
        <v>449</v>
      </c>
    </row>
    <row r="148" spans="1:33">
      <c r="A148" s="39">
        <v>40</v>
      </c>
      <c r="B148" s="40">
        <f t="shared" si="58"/>
        <v>0</v>
      </c>
      <c r="C148" s="58" t="s">
        <v>376</v>
      </c>
      <c r="D148" s="41" t="str">
        <f t="shared" si="59"/>
        <v>Capitalized training costs</v>
      </c>
      <c r="E148" s="41"/>
      <c r="F148" s="41"/>
      <c r="G148" s="41"/>
      <c r="H148" s="41"/>
      <c r="I148" s="41"/>
      <c r="J148" s="45"/>
      <c r="K148" s="63"/>
      <c r="L148" s="51"/>
      <c r="M148" s="61"/>
      <c r="N148" s="51"/>
      <c r="O148" s="51"/>
      <c r="P148" s="51"/>
      <c r="Q148" s="68"/>
      <c r="R148" s="51"/>
      <c r="S148" s="52"/>
      <c r="T148" s="51"/>
      <c r="U148" s="51"/>
      <c r="V148" s="51"/>
      <c r="W148" s="80"/>
      <c r="X148" s="84"/>
      <c r="Y148" s="84"/>
      <c r="Z148" s="80"/>
      <c r="AA148" s="83"/>
      <c r="AB148" s="83"/>
      <c r="AC148" s="80"/>
      <c r="AD148" s="83"/>
      <c r="AE148" s="83"/>
      <c r="AF148" s="83"/>
      <c r="AG148" s="80"/>
    </row>
    <row r="149" spans="1:33">
      <c r="A149" s="39">
        <v>41</v>
      </c>
      <c r="B149" s="40">
        <f t="shared" si="58"/>
        <v>1</v>
      </c>
      <c r="C149" s="58" t="s">
        <v>377</v>
      </c>
      <c r="D149" s="41" t="str">
        <f t="shared" si="59"/>
        <v xml:space="preserve">      staff recruitment and training</v>
      </c>
      <c r="E149" s="41" t="s">
        <v>341</v>
      </c>
      <c r="F149" s="41"/>
      <c r="G149" s="41"/>
      <c r="H149" s="41"/>
      <c r="I149" s="41"/>
      <c r="J149" s="45">
        <v>300000</v>
      </c>
      <c r="K149" s="63"/>
      <c r="L149" s="51"/>
      <c r="M149" s="61"/>
      <c r="N149" s="51"/>
      <c r="O149" s="51"/>
      <c r="P149" s="51"/>
      <c r="Q149" s="68">
        <v>2024</v>
      </c>
      <c r="R149" s="51" t="s">
        <v>72</v>
      </c>
      <c r="S149" s="44"/>
      <c r="T149" s="51" t="s">
        <v>451</v>
      </c>
      <c r="U149" s="51" t="s">
        <v>452</v>
      </c>
      <c r="V149" s="51"/>
      <c r="W149" s="80" t="s">
        <v>465</v>
      </c>
      <c r="X149" s="84">
        <f>0.9*$J149</f>
        <v>270000</v>
      </c>
      <c r="Y149" s="84">
        <f t="shared" si="25"/>
        <v>450000</v>
      </c>
      <c r="Z149" s="80" t="s">
        <v>448</v>
      </c>
      <c r="AA149" s="83">
        <f t="shared" si="26"/>
        <v>0</v>
      </c>
      <c r="AB149" s="83">
        <f t="shared" si="27"/>
        <v>0</v>
      </c>
      <c r="AC149" s="80" t="s">
        <v>448</v>
      </c>
      <c r="AD149" s="83" t="s">
        <v>472</v>
      </c>
      <c r="AE149" s="83" t="s">
        <v>473</v>
      </c>
      <c r="AF149" s="83" t="s">
        <v>474</v>
      </c>
      <c r="AG149" s="80" t="s">
        <v>449</v>
      </c>
    </row>
    <row r="150" spans="1:33">
      <c r="A150" s="52">
        <v>60</v>
      </c>
      <c r="B150" s="40">
        <f t="shared" si="58"/>
        <v>0</v>
      </c>
      <c r="C150" s="58" t="s">
        <v>34</v>
      </c>
      <c r="D150" s="41" t="str">
        <f t="shared" si="59"/>
        <v xml:space="preserve">Capitalized Financial Costs </v>
      </c>
      <c r="E150" s="41"/>
      <c r="F150" s="41"/>
      <c r="G150" s="41"/>
      <c r="H150" s="41"/>
      <c r="I150" s="41"/>
      <c r="J150" s="71"/>
      <c r="K150" s="53"/>
      <c r="L150" s="52"/>
      <c r="M150" s="52"/>
      <c r="N150" s="52"/>
      <c r="O150" s="52"/>
      <c r="P150" s="52"/>
      <c r="Q150" s="71"/>
      <c r="R150" s="52"/>
      <c r="S150" s="52"/>
      <c r="T150" s="52"/>
      <c r="U150" s="52"/>
      <c r="V150" s="52"/>
      <c r="W150" s="80"/>
      <c r="X150" s="84"/>
      <c r="Y150" s="84"/>
      <c r="Z150" s="80"/>
      <c r="AA150" s="83"/>
      <c r="AB150" s="83"/>
      <c r="AC150" s="80"/>
      <c r="AD150" s="83"/>
      <c r="AE150" s="83"/>
      <c r="AF150" s="83"/>
      <c r="AG150" s="80"/>
    </row>
    <row r="151" spans="1:33">
      <c r="A151" s="39">
        <v>62</v>
      </c>
      <c r="B151" s="40">
        <f t="shared" si="58"/>
        <v>1</v>
      </c>
      <c r="C151" s="58" t="s">
        <v>35</v>
      </c>
      <c r="D151" s="41" t="str">
        <f t="shared" si="59"/>
        <v xml:space="preserve">      Interest</v>
      </c>
      <c r="E151" s="41"/>
      <c r="F151" s="41"/>
      <c r="G151" s="41"/>
      <c r="H151" s="41"/>
      <c r="I151" s="41"/>
      <c r="J151" s="45"/>
      <c r="K151" s="63"/>
      <c r="L151" s="51"/>
      <c r="M151" s="61"/>
      <c r="N151" s="51"/>
      <c r="O151" s="51"/>
      <c r="P151" s="51"/>
      <c r="Q151" s="68"/>
      <c r="R151" s="51"/>
      <c r="S151" s="61"/>
      <c r="T151" s="51"/>
      <c r="U151" s="51"/>
      <c r="V151" s="51"/>
      <c r="W151" s="80"/>
      <c r="X151" s="84"/>
      <c r="Y151" s="84"/>
      <c r="Z151" s="80"/>
      <c r="AA151" s="83"/>
      <c r="AB151" s="83"/>
      <c r="AC151" s="80"/>
      <c r="AD151" s="83"/>
      <c r="AE151" s="83"/>
      <c r="AF151" s="83"/>
      <c r="AG151" s="80"/>
    </row>
    <row r="152" spans="1:33">
      <c r="A152" s="39">
        <v>70</v>
      </c>
      <c r="B152" s="40">
        <f t="shared" si="58"/>
        <v>0</v>
      </c>
      <c r="C152" s="74" t="s">
        <v>36</v>
      </c>
      <c r="D152" s="41" t="str">
        <f t="shared" si="59"/>
        <v xml:space="preserve">Annualized O&amp;M Cost </v>
      </c>
      <c r="E152" s="41"/>
      <c r="F152" s="41"/>
      <c r="G152" s="41"/>
      <c r="H152" s="41"/>
      <c r="I152" s="41"/>
      <c r="J152" s="42"/>
      <c r="K152" s="42"/>
      <c r="L152" s="40"/>
      <c r="M152" s="43"/>
      <c r="N152" s="40"/>
      <c r="O152" s="40"/>
      <c r="P152" s="40"/>
      <c r="Q152" s="42"/>
      <c r="R152" s="40"/>
      <c r="S152" s="43"/>
      <c r="T152" s="40"/>
      <c r="U152" s="40"/>
      <c r="V152" s="40"/>
      <c r="W152" s="80"/>
      <c r="X152" s="84"/>
      <c r="Y152" s="84"/>
      <c r="Z152" s="80"/>
      <c r="AA152" s="83"/>
      <c r="AB152" s="83"/>
      <c r="AC152" s="80"/>
      <c r="AD152" s="83"/>
      <c r="AE152" s="83"/>
      <c r="AF152" s="83"/>
      <c r="AG152" s="80"/>
    </row>
    <row r="153" spans="1:33">
      <c r="A153" s="39">
        <v>71</v>
      </c>
      <c r="B153" s="40">
        <f t="shared" si="58"/>
        <v>1</v>
      </c>
      <c r="C153" s="58" t="s">
        <v>37</v>
      </c>
      <c r="D153" s="41" t="str">
        <f t="shared" si="59"/>
        <v xml:space="preserve">      O&amp;M Staff</v>
      </c>
      <c r="E153" s="41"/>
      <c r="F153" s="41"/>
      <c r="G153" s="41"/>
      <c r="H153" s="41"/>
      <c r="I153" s="41"/>
      <c r="J153" s="45"/>
      <c r="K153" s="63"/>
      <c r="L153" s="51"/>
      <c r="M153" s="61"/>
      <c r="N153" s="51"/>
      <c r="O153" s="51"/>
      <c r="P153" s="51"/>
      <c r="Q153" s="68"/>
      <c r="R153" s="51"/>
      <c r="S153" s="61"/>
      <c r="T153" s="51"/>
      <c r="U153" s="51"/>
      <c r="V153" s="51"/>
      <c r="W153" s="80"/>
      <c r="X153" s="84"/>
      <c r="Y153" s="84"/>
      <c r="Z153" s="80"/>
      <c r="AA153" s="83"/>
      <c r="AB153" s="83"/>
      <c r="AC153" s="80"/>
      <c r="AD153" s="83"/>
      <c r="AE153" s="83"/>
      <c r="AF153" s="83"/>
      <c r="AG153" s="80"/>
    </row>
    <row r="154" spans="1:33" ht="70.95" customHeight="1">
      <c r="A154" s="55">
        <v>711</v>
      </c>
      <c r="B154" s="40">
        <f t="shared" si="58"/>
        <v>2</v>
      </c>
      <c r="C154" s="58" t="s">
        <v>38</v>
      </c>
      <c r="D154" s="41" t="str">
        <f t="shared" si="59"/>
        <v xml:space="preserve">            Operators </v>
      </c>
      <c r="E154" s="41" t="s">
        <v>342</v>
      </c>
      <c r="F154" s="41"/>
      <c r="G154" s="41"/>
      <c r="H154" s="41"/>
      <c r="I154" s="41"/>
      <c r="J154" s="45"/>
      <c r="K154" s="63">
        <v>178500</v>
      </c>
      <c r="L154" s="51" t="s">
        <v>381</v>
      </c>
      <c r="M154" s="61" t="s">
        <v>382</v>
      </c>
      <c r="N154" s="51"/>
      <c r="O154" s="51"/>
      <c r="P154" s="51">
        <v>1</v>
      </c>
      <c r="Q154" s="68">
        <v>2024</v>
      </c>
      <c r="R154" s="51" t="s">
        <v>72</v>
      </c>
      <c r="S154" s="61"/>
      <c r="T154" s="61" t="s">
        <v>383</v>
      </c>
      <c r="U154" s="51"/>
      <c r="V154" s="51"/>
      <c r="W154" s="80" t="s">
        <v>465</v>
      </c>
      <c r="X154" s="84">
        <f t="shared" ref="X154:X173" si="69">0.9*$J154</f>
        <v>0</v>
      </c>
      <c r="Y154" s="84">
        <f t="shared" ref="Y154:Y173" si="70">1.5*J154</f>
        <v>0</v>
      </c>
      <c r="Z154" s="80" t="s">
        <v>448</v>
      </c>
      <c r="AA154" s="83">
        <f t="shared" ref="AA154:AA173" si="71">0.9*K154</f>
        <v>160650</v>
      </c>
      <c r="AB154" s="83">
        <f t="shared" ref="AB154:AB173" si="72">1.3*K154</f>
        <v>232050</v>
      </c>
      <c r="AC154" s="80" t="s">
        <v>448</v>
      </c>
      <c r="AD154" s="83" t="s">
        <v>472</v>
      </c>
      <c r="AE154" s="83" t="s">
        <v>473</v>
      </c>
      <c r="AF154" s="83" t="s">
        <v>474</v>
      </c>
      <c r="AG154" s="80" t="s">
        <v>449</v>
      </c>
    </row>
    <row r="155" spans="1:33" ht="30" customHeight="1">
      <c r="A155" s="55">
        <v>712</v>
      </c>
      <c r="B155" s="40">
        <f t="shared" si="58"/>
        <v>2</v>
      </c>
      <c r="C155" s="58" t="s">
        <v>39</v>
      </c>
      <c r="D155" s="41" t="str">
        <f t="shared" si="59"/>
        <v xml:space="preserve">            Remote Monitoring Technicians </v>
      </c>
      <c r="E155" s="41" t="s">
        <v>342</v>
      </c>
      <c r="F155" s="41" t="s">
        <v>386</v>
      </c>
      <c r="G155" s="41" t="s">
        <v>387</v>
      </c>
      <c r="H155" s="41"/>
      <c r="I155" s="41"/>
      <c r="J155" s="45"/>
      <c r="K155" s="63">
        <v>178500</v>
      </c>
      <c r="L155" s="51" t="s">
        <v>381</v>
      </c>
      <c r="M155" s="61" t="s">
        <v>385</v>
      </c>
      <c r="N155" s="51"/>
      <c r="O155" s="51"/>
      <c r="P155" s="51">
        <v>1</v>
      </c>
      <c r="Q155" s="68">
        <v>2024</v>
      </c>
      <c r="R155" s="51" t="s">
        <v>72</v>
      </c>
      <c r="S155" s="61"/>
      <c r="T155" s="61" t="s">
        <v>383</v>
      </c>
      <c r="U155" s="51"/>
      <c r="V155" s="51"/>
      <c r="W155" s="80" t="s">
        <v>465</v>
      </c>
      <c r="X155" s="84">
        <f t="shared" si="69"/>
        <v>0</v>
      </c>
      <c r="Y155" s="84">
        <f t="shared" si="70"/>
        <v>0</v>
      </c>
      <c r="Z155" s="80" t="s">
        <v>448</v>
      </c>
      <c r="AA155" s="83">
        <f t="shared" si="71"/>
        <v>160650</v>
      </c>
      <c r="AB155" s="83">
        <f t="shared" si="72"/>
        <v>232050</v>
      </c>
      <c r="AC155" s="80" t="s">
        <v>448</v>
      </c>
      <c r="AD155" s="83" t="s">
        <v>472</v>
      </c>
      <c r="AE155" s="83" t="s">
        <v>473</v>
      </c>
      <c r="AF155" s="83" t="s">
        <v>474</v>
      </c>
      <c r="AG155" s="80" t="s">
        <v>449</v>
      </c>
    </row>
    <row r="156" spans="1:33" ht="93">
      <c r="A156" s="55">
        <v>713</v>
      </c>
      <c r="B156" s="40">
        <f t="shared" si="58"/>
        <v>2</v>
      </c>
      <c r="C156" s="58" t="s">
        <v>40</v>
      </c>
      <c r="D156" s="41" t="str">
        <f t="shared" si="59"/>
        <v xml:space="preserve">            Security Staff </v>
      </c>
      <c r="E156" s="41" t="s">
        <v>342</v>
      </c>
      <c r="F156" s="41"/>
      <c r="G156" s="41"/>
      <c r="H156" s="41"/>
      <c r="I156" s="41"/>
      <c r="J156" s="45"/>
      <c r="K156" s="63">
        <v>178500</v>
      </c>
      <c r="L156" s="51" t="s">
        <v>381</v>
      </c>
      <c r="M156" s="61" t="s">
        <v>388</v>
      </c>
      <c r="N156" s="51"/>
      <c r="O156" s="51"/>
      <c r="P156" s="51">
        <v>1</v>
      </c>
      <c r="Q156" s="68">
        <v>2024</v>
      </c>
      <c r="R156" s="51" t="s">
        <v>72</v>
      </c>
      <c r="S156" s="61"/>
      <c r="T156" s="61" t="s">
        <v>383</v>
      </c>
      <c r="U156" s="51"/>
      <c r="V156" s="51"/>
      <c r="W156" s="80" t="s">
        <v>465</v>
      </c>
      <c r="X156" s="84">
        <f t="shared" si="69"/>
        <v>0</v>
      </c>
      <c r="Y156" s="84">
        <f t="shared" si="70"/>
        <v>0</v>
      </c>
      <c r="Z156" s="80" t="s">
        <v>448</v>
      </c>
      <c r="AA156" s="83">
        <f t="shared" si="71"/>
        <v>160650</v>
      </c>
      <c r="AB156" s="83">
        <f t="shared" si="72"/>
        <v>232050</v>
      </c>
      <c r="AC156" s="80" t="s">
        <v>448</v>
      </c>
      <c r="AD156" s="83" t="s">
        <v>472</v>
      </c>
      <c r="AE156" s="83" t="s">
        <v>473</v>
      </c>
      <c r="AF156" s="83" t="s">
        <v>474</v>
      </c>
      <c r="AG156" s="80" t="s">
        <v>449</v>
      </c>
    </row>
    <row r="157" spans="1:33">
      <c r="A157" s="39">
        <v>72</v>
      </c>
      <c r="B157" s="40">
        <f t="shared" si="58"/>
        <v>1</v>
      </c>
      <c r="C157" s="58" t="s">
        <v>431</v>
      </c>
      <c r="D157" s="41" t="str">
        <f t="shared" si="59"/>
        <v xml:space="preserve">      Variable Non-Fuel Costs</v>
      </c>
      <c r="E157" s="41"/>
      <c r="F157" s="41"/>
      <c r="G157" s="41"/>
      <c r="H157" s="41"/>
      <c r="I157" s="41"/>
      <c r="J157" s="45"/>
      <c r="K157" s="63"/>
      <c r="L157" s="51"/>
      <c r="M157" s="61"/>
      <c r="N157" s="51"/>
      <c r="O157" s="51"/>
      <c r="P157" s="51"/>
      <c r="Q157" s="68"/>
      <c r="R157" s="51"/>
      <c r="S157" s="61"/>
      <c r="T157" s="61"/>
      <c r="U157" s="51"/>
      <c r="V157" s="51"/>
      <c r="W157" s="80"/>
      <c r="X157" s="84"/>
      <c r="Y157" s="84"/>
      <c r="Z157" s="80"/>
      <c r="AA157" s="83"/>
      <c r="AB157" s="83"/>
      <c r="AC157" s="80" t="s">
        <v>467</v>
      </c>
      <c r="AD157" s="83" t="s">
        <v>467</v>
      </c>
      <c r="AE157" s="83" t="s">
        <v>467</v>
      </c>
      <c r="AF157" s="83" t="s">
        <v>467</v>
      </c>
      <c r="AG157" s="80" t="s">
        <v>467</v>
      </c>
    </row>
    <row r="158" spans="1:33" ht="66.599999999999994">
      <c r="A158" s="39">
        <v>721</v>
      </c>
      <c r="B158" s="40">
        <f t="shared" si="58"/>
        <v>2</v>
      </c>
      <c r="C158" s="58" t="s">
        <v>489</v>
      </c>
      <c r="D158" s="41" t="str">
        <f t="shared" si="59"/>
        <v xml:space="preserve">            Coolant</v>
      </c>
      <c r="E158" s="41" t="s">
        <v>342</v>
      </c>
      <c r="F158" s="41" t="s">
        <v>489</v>
      </c>
      <c r="G158" s="41" t="s">
        <v>490</v>
      </c>
      <c r="H158" s="41"/>
      <c r="I158" s="41"/>
      <c r="J158" s="45"/>
      <c r="K158" s="63">
        <v>170</v>
      </c>
      <c r="L158" s="51" t="s">
        <v>174</v>
      </c>
      <c r="M158" s="61" t="s">
        <v>543</v>
      </c>
      <c r="N158" s="51"/>
      <c r="O158" s="51" t="s">
        <v>173</v>
      </c>
      <c r="P158" s="51"/>
      <c r="Q158" s="68">
        <v>2024</v>
      </c>
      <c r="R158" s="51" t="s">
        <v>73</v>
      </c>
      <c r="S158" s="61" t="s">
        <v>492</v>
      </c>
      <c r="T158" s="65" t="s">
        <v>492</v>
      </c>
      <c r="U158" s="87" t="s">
        <v>491</v>
      </c>
      <c r="V158" s="51" t="s">
        <v>493</v>
      </c>
      <c r="W158" s="80" t="s">
        <v>465</v>
      </c>
      <c r="X158" s="84">
        <f t="shared" ref="X158:X160" si="73">0.9*$J158</f>
        <v>0</v>
      </c>
      <c r="Y158" s="84">
        <f t="shared" ref="Y158" si="74">1.5*J158</f>
        <v>0</v>
      </c>
      <c r="Z158" s="80" t="s">
        <v>448</v>
      </c>
      <c r="AA158" s="83">
        <f>0.9*K158</f>
        <v>153</v>
      </c>
      <c r="AB158" s="83">
        <f t="shared" ref="AB158" si="75">1.3*K158</f>
        <v>221</v>
      </c>
      <c r="AC158" s="80" t="s">
        <v>448</v>
      </c>
      <c r="AD158" s="83" t="s">
        <v>472</v>
      </c>
      <c r="AE158" s="83" t="s">
        <v>473</v>
      </c>
      <c r="AF158" s="83" t="s">
        <v>474</v>
      </c>
      <c r="AG158" s="80" t="s">
        <v>449</v>
      </c>
    </row>
    <row r="159" spans="1:33" ht="27">
      <c r="A159" s="39">
        <v>721</v>
      </c>
      <c r="B159" s="40">
        <f t="shared" ref="B159:B160" si="76">IF(ISNUMBER(A159),
    IF(AND(A159=INT(A159), MOD(A159, 10) = 0), 0,
        IF(AND(A159=INT(A159), LEN(A159)=2), 1,
            IF(AND(A159=INT(A159), LEN(A159)=3), 2,
                LEN(A159) - FIND(".", A159) + 2)
        )
    ),
"")</f>
        <v>2</v>
      </c>
      <c r="C159" s="58" t="s">
        <v>489</v>
      </c>
      <c r="D159" s="41" t="str">
        <f t="shared" ref="D159:D160" si="77">REPT("   ", B159*2) &amp; C159</f>
        <v xml:space="preserve">            Coolant</v>
      </c>
      <c r="E159" s="41" t="s">
        <v>342</v>
      </c>
      <c r="F159" s="41" t="s">
        <v>489</v>
      </c>
      <c r="G159" s="41" t="s">
        <v>527</v>
      </c>
      <c r="H159" s="41"/>
      <c r="I159" s="41"/>
      <c r="J159" s="45"/>
      <c r="K159" s="63">
        <v>118</v>
      </c>
      <c r="L159" s="51" t="s">
        <v>174</v>
      </c>
      <c r="M159" s="61" t="s">
        <v>543</v>
      </c>
      <c r="N159" s="51"/>
      <c r="O159" s="51" t="s">
        <v>173</v>
      </c>
      <c r="P159" s="51"/>
      <c r="Q159" s="68">
        <v>2023</v>
      </c>
      <c r="R159" s="51" t="s">
        <v>73</v>
      </c>
      <c r="S159" s="61" t="s">
        <v>528</v>
      </c>
      <c r="T159" s="65"/>
      <c r="U159" s="87"/>
      <c r="V159" s="51" t="s">
        <v>529</v>
      </c>
      <c r="W159" s="80" t="s">
        <v>465</v>
      </c>
      <c r="X159" s="84">
        <f t="shared" si="73"/>
        <v>0</v>
      </c>
      <c r="Y159" s="84">
        <f t="shared" ref="Y159:Y160" si="78">1.5*J159</f>
        <v>0</v>
      </c>
      <c r="Z159" s="80" t="s">
        <v>448</v>
      </c>
      <c r="AA159" s="83">
        <f t="shared" ref="AA159" si="79">0.9*K159</f>
        <v>106.2</v>
      </c>
      <c r="AB159" s="83">
        <f t="shared" ref="AB159" si="80">1.3*K159</f>
        <v>153.4</v>
      </c>
      <c r="AC159" s="80" t="s">
        <v>448</v>
      </c>
      <c r="AD159" s="83" t="s">
        <v>472</v>
      </c>
      <c r="AE159" s="83" t="s">
        <v>473</v>
      </c>
      <c r="AF159" s="83" t="s">
        <v>474</v>
      </c>
      <c r="AG159" s="80" t="s">
        <v>449</v>
      </c>
    </row>
    <row r="160" spans="1:33" ht="172.2">
      <c r="A160" s="39">
        <v>73</v>
      </c>
      <c r="B160" s="40">
        <f t="shared" si="76"/>
        <v>1</v>
      </c>
      <c r="C160" s="58" t="s">
        <v>546</v>
      </c>
      <c r="D160" s="41" t="str">
        <f t="shared" si="77"/>
        <v xml:space="preserve">      Regulatory Costs</v>
      </c>
      <c r="E160" s="41" t="s">
        <v>341</v>
      </c>
      <c r="F160" s="41"/>
      <c r="G160" s="41"/>
      <c r="H160" s="41"/>
      <c r="I160" s="41"/>
      <c r="J160" s="45">
        <f>(2/100)*5359000</f>
        <v>107180</v>
      </c>
      <c r="K160" s="63"/>
      <c r="L160" s="51"/>
      <c r="M160" s="61"/>
      <c r="N160" s="51"/>
      <c r="O160" s="51"/>
      <c r="P160" s="51"/>
      <c r="Q160" s="68">
        <v>2024</v>
      </c>
      <c r="R160" s="51" t="s">
        <v>72</v>
      </c>
      <c r="S160" s="61" t="s">
        <v>547</v>
      </c>
      <c r="T160" s="65" t="s">
        <v>548</v>
      </c>
      <c r="U160" s="87" t="s">
        <v>548</v>
      </c>
      <c r="V160" s="51"/>
      <c r="W160" s="5" t="s">
        <v>466</v>
      </c>
      <c r="X160" s="84">
        <f t="shared" si="73"/>
        <v>96462</v>
      </c>
      <c r="Y160" s="84">
        <f t="shared" si="78"/>
        <v>160770</v>
      </c>
      <c r="Z160" s="80" t="s">
        <v>448</v>
      </c>
      <c r="AA160" s="83"/>
      <c r="AB160" s="83"/>
      <c r="AC160" s="80"/>
      <c r="AD160" s="83"/>
      <c r="AE160" s="83"/>
      <c r="AF160" s="83"/>
      <c r="AG160" s="80"/>
    </row>
    <row r="161" spans="1:33" ht="119.4">
      <c r="A161" s="39">
        <v>75</v>
      </c>
      <c r="B161" s="40">
        <f t="shared" si="58"/>
        <v>1</v>
      </c>
      <c r="C161" s="58" t="s">
        <v>41</v>
      </c>
      <c r="D161" s="41" t="str">
        <f>REPT("   ", B161*2) &amp; C161</f>
        <v xml:space="preserve">      Capital Plant Expenditures</v>
      </c>
      <c r="E161" s="41"/>
      <c r="F161" s="41"/>
      <c r="G161" s="41"/>
      <c r="H161" s="41"/>
      <c r="I161" s="41"/>
      <c r="J161" s="45"/>
      <c r="K161" s="63"/>
      <c r="L161" s="51"/>
      <c r="M161" s="61"/>
      <c r="N161" s="51"/>
      <c r="O161" s="51"/>
      <c r="P161" s="51"/>
      <c r="Q161" s="68"/>
      <c r="R161" s="51"/>
      <c r="S161" s="61" t="s">
        <v>498</v>
      </c>
      <c r="T161" s="61" t="s">
        <v>498</v>
      </c>
      <c r="U161" s="51"/>
      <c r="V161" s="61" t="s">
        <v>499</v>
      </c>
      <c r="W161" s="80"/>
      <c r="X161" s="84"/>
      <c r="Y161" s="84"/>
      <c r="Z161" s="80"/>
      <c r="AA161" s="83"/>
      <c r="AB161" s="83"/>
      <c r="AC161" s="80"/>
      <c r="AD161" s="83"/>
      <c r="AE161" s="83"/>
      <c r="AF161" s="83"/>
      <c r="AG161" s="80"/>
    </row>
    <row r="162" spans="1:33" ht="12.75" customHeight="1">
      <c r="A162" s="39">
        <v>751</v>
      </c>
      <c r="B162" s="40">
        <f t="shared" si="58"/>
        <v>2</v>
      </c>
      <c r="C162" s="58" t="s">
        <v>540</v>
      </c>
      <c r="D162" s="41" t="str">
        <f>REPT("   ", B162*2) &amp; C162</f>
        <v xml:space="preserve">            Annualized RPV Replacements</v>
      </c>
      <c r="E162" s="41"/>
      <c r="F162" s="41"/>
      <c r="G162" s="41"/>
      <c r="H162" s="41"/>
      <c r="I162" s="41"/>
      <c r="J162" s="45"/>
      <c r="K162" s="63"/>
      <c r="L162" s="51"/>
      <c r="M162" s="61"/>
      <c r="N162" s="51"/>
      <c r="O162" s="51"/>
      <c r="P162" s="51"/>
      <c r="Q162" s="68"/>
      <c r="R162" s="51"/>
      <c r="S162" s="111" t="s">
        <v>498</v>
      </c>
      <c r="T162" s="111" t="s">
        <v>498</v>
      </c>
      <c r="U162" s="51"/>
      <c r="V162" s="111" t="s">
        <v>499</v>
      </c>
      <c r="W162" s="80"/>
      <c r="X162" s="84"/>
      <c r="Y162" s="84"/>
      <c r="Z162" s="80"/>
      <c r="AA162" s="83"/>
      <c r="AB162" s="83"/>
      <c r="AC162" s="80"/>
      <c r="AD162" s="83"/>
      <c r="AE162" s="83"/>
      <c r="AF162" s="83"/>
      <c r="AG162" s="80"/>
    </row>
    <row r="163" spans="1:33" ht="27">
      <c r="A163" s="39">
        <v>752</v>
      </c>
      <c r="B163" s="40">
        <f t="shared" si="58"/>
        <v>2</v>
      </c>
      <c r="C163" s="58" t="s">
        <v>541</v>
      </c>
      <c r="D163" s="41" t="str">
        <f t="shared" si="59"/>
        <v xml:space="preserve">            Annualized Core Barrel Replacements</v>
      </c>
      <c r="E163" s="41"/>
      <c r="F163" s="41"/>
      <c r="G163" s="41"/>
      <c r="H163" s="41"/>
      <c r="I163" s="41"/>
      <c r="J163" s="45"/>
      <c r="K163" s="63"/>
      <c r="L163" s="51"/>
      <c r="M163" s="61"/>
      <c r="N163" s="51"/>
      <c r="O163" s="51"/>
      <c r="P163" s="51"/>
      <c r="Q163" s="68"/>
      <c r="R163" s="51"/>
      <c r="S163" s="113"/>
      <c r="T163" s="113"/>
      <c r="U163" s="51"/>
      <c r="V163" s="113"/>
      <c r="W163" s="80"/>
      <c r="X163" s="84"/>
      <c r="Y163" s="84"/>
      <c r="Z163" s="80"/>
      <c r="AA163" s="83"/>
      <c r="AB163" s="83"/>
      <c r="AC163" s="80"/>
      <c r="AD163" s="83"/>
      <c r="AE163" s="83"/>
      <c r="AF163" s="83"/>
      <c r="AG163" s="80"/>
    </row>
    <row r="164" spans="1:33" ht="27">
      <c r="A164" s="39">
        <v>753</v>
      </c>
      <c r="B164" s="40">
        <f t="shared" si="58"/>
        <v>2</v>
      </c>
      <c r="C164" s="58" t="s">
        <v>506</v>
      </c>
      <c r="D164" s="41" t="str">
        <f t="shared" si="59"/>
        <v xml:space="preserve">            Annualized Moderator Replacements</v>
      </c>
      <c r="E164" s="41"/>
      <c r="F164" s="41"/>
      <c r="G164" s="41"/>
      <c r="H164" s="41"/>
      <c r="I164" s="41"/>
      <c r="J164" s="45"/>
      <c r="K164" s="63"/>
      <c r="L164" s="51"/>
      <c r="M164" s="61"/>
      <c r="N164" s="51"/>
      <c r="O164" s="51"/>
      <c r="P164" s="51"/>
      <c r="Q164" s="68"/>
      <c r="R164" s="51"/>
      <c r="S164" s="113"/>
      <c r="T164" s="113"/>
      <c r="U164" s="51"/>
      <c r="V164" s="113"/>
      <c r="W164" s="80"/>
      <c r="X164" s="84"/>
      <c r="Y164" s="84"/>
      <c r="Z164" s="80"/>
      <c r="AA164" s="83"/>
      <c r="AB164" s="83"/>
      <c r="AC164" s="80"/>
      <c r="AD164" s="83"/>
      <c r="AE164" s="83"/>
      <c r="AF164" s="83"/>
      <c r="AG164" s="80"/>
    </row>
    <row r="165" spans="1:33">
      <c r="A165" s="39">
        <v>754</v>
      </c>
      <c r="B165" s="40">
        <f t="shared" si="58"/>
        <v>2</v>
      </c>
      <c r="C165" s="58" t="s">
        <v>507</v>
      </c>
      <c r="D165" s="41" t="str">
        <f t="shared" si="59"/>
        <v xml:space="preserve">            Annualized Reflector Replacements</v>
      </c>
      <c r="E165" s="41"/>
      <c r="F165" s="41"/>
      <c r="G165" s="41"/>
      <c r="H165" s="41"/>
      <c r="I165" s="41"/>
      <c r="J165" s="45"/>
      <c r="K165" s="63"/>
      <c r="L165" s="51"/>
      <c r="M165" s="61"/>
      <c r="N165" s="51"/>
      <c r="O165" s="51"/>
      <c r="P165" s="51"/>
      <c r="Q165" s="68"/>
      <c r="R165" s="51"/>
      <c r="S165" s="113"/>
      <c r="T165" s="113"/>
      <c r="U165" s="51"/>
      <c r="V165" s="113"/>
      <c r="W165" s="80"/>
      <c r="X165" s="84"/>
      <c r="Y165" s="84"/>
      <c r="Z165" s="80"/>
      <c r="AA165" s="83"/>
      <c r="AB165" s="83"/>
      <c r="AC165" s="80"/>
      <c r="AD165" s="83"/>
      <c r="AE165" s="83"/>
      <c r="AF165" s="83"/>
      <c r="AG165" s="80"/>
    </row>
    <row r="166" spans="1:33" ht="27">
      <c r="A166" s="39">
        <v>755</v>
      </c>
      <c r="B166" s="40">
        <f t="shared" si="58"/>
        <v>2</v>
      </c>
      <c r="C166" s="58" t="s">
        <v>508</v>
      </c>
      <c r="D166" s="41" t="str">
        <f t="shared" si="59"/>
        <v xml:space="preserve">            Annualized Reactivity Control Replacements</v>
      </c>
      <c r="E166" s="41"/>
      <c r="F166" s="41"/>
      <c r="G166" s="41"/>
      <c r="H166" s="41"/>
      <c r="I166" s="41"/>
      <c r="J166" s="45"/>
      <c r="K166" s="63"/>
      <c r="L166" s="51"/>
      <c r="M166" s="61"/>
      <c r="N166" s="51"/>
      <c r="O166" s="51"/>
      <c r="P166" s="51"/>
      <c r="Q166" s="68"/>
      <c r="R166" s="51"/>
      <c r="S166" s="113"/>
      <c r="T166" s="113"/>
      <c r="U166" s="51"/>
      <c r="V166" s="113"/>
      <c r="W166" s="80"/>
      <c r="X166" s="84"/>
      <c r="Y166" s="84"/>
      <c r="Z166" s="80"/>
      <c r="AA166" s="83"/>
      <c r="AB166" s="83"/>
      <c r="AC166" s="80"/>
      <c r="AD166" s="83"/>
      <c r="AE166" s="83"/>
      <c r="AF166" s="83"/>
      <c r="AG166" s="80"/>
    </row>
    <row r="167" spans="1:33" ht="25.5" customHeight="1">
      <c r="A167" s="39">
        <v>756</v>
      </c>
      <c r="B167" s="40">
        <f t="shared" si="58"/>
        <v>2</v>
      </c>
      <c r="C167" s="58" t="s">
        <v>509</v>
      </c>
      <c r="D167" s="41" t="str">
        <f>REPT("   ", B167*2) &amp; C167</f>
        <v xml:space="preserve">            Annualized Integrated Heat Transfer System Replacements</v>
      </c>
      <c r="E167" s="41"/>
      <c r="F167" s="41"/>
      <c r="G167" s="41"/>
      <c r="H167" s="41"/>
      <c r="I167" s="41"/>
      <c r="J167" s="45"/>
      <c r="K167" s="63"/>
      <c r="L167" s="51"/>
      <c r="M167" s="61"/>
      <c r="N167" s="51"/>
      <c r="O167" s="51"/>
      <c r="P167" s="51"/>
      <c r="Q167" s="68"/>
      <c r="R167" s="51"/>
      <c r="S167" s="113"/>
      <c r="T167" s="113"/>
      <c r="U167" s="51"/>
      <c r="V167" s="113"/>
      <c r="W167" s="80"/>
      <c r="X167" s="84"/>
      <c r="Y167" s="84"/>
      <c r="Z167" s="80"/>
      <c r="AA167" s="83"/>
      <c r="AB167" s="83"/>
      <c r="AC167" s="80"/>
      <c r="AD167" s="83"/>
      <c r="AE167" s="83"/>
      <c r="AF167" s="83"/>
      <c r="AG167" s="80"/>
    </row>
    <row r="168" spans="1:33" ht="25.5" customHeight="1">
      <c r="A168" s="39">
        <v>759</v>
      </c>
      <c r="B168" s="40">
        <f t="shared" si="58"/>
        <v>2</v>
      </c>
      <c r="C168" s="58" t="s">
        <v>510</v>
      </c>
      <c r="D168" s="41" t="str">
        <f>REPT("   ", B168*2) &amp; C168</f>
        <v xml:space="preserve">            Annualized Misc. Replacements</v>
      </c>
      <c r="E168" s="41"/>
      <c r="F168" s="41"/>
      <c r="G168" s="41"/>
      <c r="H168" s="41"/>
      <c r="I168" s="41"/>
      <c r="J168" s="45"/>
      <c r="K168" s="63"/>
      <c r="L168" s="51"/>
      <c r="M168" s="61"/>
      <c r="N168" s="51"/>
      <c r="O168" s="51"/>
      <c r="P168" s="51"/>
      <c r="Q168" s="68"/>
      <c r="R168" s="51"/>
      <c r="S168" s="112"/>
      <c r="T168" s="112"/>
      <c r="U168" s="51"/>
      <c r="V168" s="112"/>
      <c r="W168" s="80"/>
      <c r="X168" s="84"/>
      <c r="Y168" s="84"/>
      <c r="Z168" s="80"/>
      <c r="AA168" s="83"/>
      <c r="AB168" s="83"/>
      <c r="AC168" s="80"/>
      <c r="AD168" s="83"/>
      <c r="AE168" s="83"/>
      <c r="AF168" s="83"/>
      <c r="AG168" s="80"/>
    </row>
    <row r="169" spans="1:33" ht="30" customHeight="1">
      <c r="A169" s="39">
        <v>78</v>
      </c>
      <c r="B169" s="40">
        <f t="shared" ref="B169" si="81">IF(ISNUMBER(A169),
    IF(AND(A169=INT(A169), MOD(A169, 10) = 0), 0,
        IF(AND(A169=INT(A169), LEN(A169)=2), 1,
            IF(AND(A169=INT(A169), LEN(A169)=3), 2,
                LEN(A169) - FIND(".", A169) + 2)
        )
    ),
"")</f>
        <v>1</v>
      </c>
      <c r="C169" s="58" t="s">
        <v>42</v>
      </c>
      <c r="D169" s="41" t="str">
        <f t="shared" ref="D169" si="82">REPT("   ", B169*2) &amp; C169</f>
        <v xml:space="preserve">      Annualized Decommissioning Cost</v>
      </c>
      <c r="E169" s="41"/>
      <c r="F169" s="41"/>
      <c r="G169" s="41"/>
      <c r="H169" s="41"/>
      <c r="I169" s="41"/>
      <c r="J169" s="45"/>
      <c r="K169" s="75"/>
      <c r="L169" s="51"/>
      <c r="M169" s="47"/>
      <c r="N169" s="51"/>
      <c r="O169" s="51"/>
      <c r="P169" s="51"/>
      <c r="Q169" s="68"/>
      <c r="R169" s="76"/>
      <c r="S169" s="61"/>
      <c r="T169" s="61"/>
      <c r="U169" s="51"/>
      <c r="V169" s="61" t="s">
        <v>497</v>
      </c>
      <c r="W169" s="80"/>
      <c r="X169" s="84"/>
      <c r="Y169" s="84"/>
      <c r="Z169" s="80"/>
      <c r="AA169" s="83"/>
      <c r="AB169" s="83"/>
      <c r="AC169" s="80"/>
      <c r="AD169" s="83"/>
      <c r="AE169" s="83"/>
      <c r="AF169" s="83"/>
      <c r="AG169" s="80"/>
    </row>
    <row r="170" spans="1:33">
      <c r="A170" s="39">
        <v>80</v>
      </c>
      <c r="B170" s="40">
        <f t="shared" si="58"/>
        <v>0</v>
      </c>
      <c r="C170" s="74" t="s">
        <v>43</v>
      </c>
      <c r="D170" s="41" t="str">
        <f t="shared" si="59"/>
        <v>Annualized Fuel Cost</v>
      </c>
      <c r="E170" s="41"/>
      <c r="F170" s="41"/>
      <c r="G170" s="41"/>
      <c r="H170" s="41"/>
      <c r="I170" s="41"/>
      <c r="J170" s="42"/>
      <c r="K170" s="42"/>
      <c r="L170" s="40"/>
      <c r="M170" s="43"/>
      <c r="N170" s="40"/>
      <c r="O170" s="40"/>
      <c r="P170" s="40"/>
      <c r="Q170" s="42"/>
      <c r="R170" s="40"/>
      <c r="S170" s="43"/>
      <c r="T170" s="40"/>
      <c r="U170" s="40"/>
      <c r="V170" s="40"/>
      <c r="W170" s="80"/>
      <c r="X170" s="84"/>
      <c r="Y170" s="84"/>
      <c r="Z170" s="80"/>
      <c r="AA170" s="83"/>
      <c r="AB170" s="83"/>
      <c r="AC170" s="80"/>
      <c r="AD170" s="83"/>
      <c r="AE170" s="83"/>
      <c r="AF170" s="83"/>
      <c r="AG170" s="80"/>
    </row>
    <row r="171" spans="1:33" ht="93">
      <c r="A171" s="39">
        <v>81</v>
      </c>
      <c r="B171" s="40">
        <f t="shared" si="58"/>
        <v>1</v>
      </c>
      <c r="C171" s="58" t="s">
        <v>44</v>
      </c>
      <c r="D171" s="41" t="str">
        <f t="shared" si="59"/>
        <v xml:space="preserve">      Refueling Operations</v>
      </c>
      <c r="E171" s="41" t="s">
        <v>342</v>
      </c>
      <c r="F171" s="41"/>
      <c r="G171" s="41"/>
      <c r="H171" s="41"/>
      <c r="I171" s="41"/>
      <c r="J171" s="45"/>
      <c r="K171" s="63">
        <v>178500</v>
      </c>
      <c r="L171" s="51" t="s">
        <v>381</v>
      </c>
      <c r="M171" s="61" t="s">
        <v>382</v>
      </c>
      <c r="N171" s="51"/>
      <c r="O171" s="51"/>
      <c r="P171" s="51">
        <v>1</v>
      </c>
      <c r="Q171" s="68">
        <v>2024</v>
      </c>
      <c r="R171" s="76" t="s">
        <v>72</v>
      </c>
      <c r="S171" s="61"/>
      <c r="T171" s="61" t="s">
        <v>383</v>
      </c>
      <c r="U171" s="51"/>
      <c r="V171" s="51"/>
      <c r="W171" s="80" t="s">
        <v>465</v>
      </c>
      <c r="X171" s="84">
        <f t="shared" si="69"/>
        <v>0</v>
      </c>
      <c r="Y171" s="84">
        <f t="shared" si="70"/>
        <v>0</v>
      </c>
      <c r="Z171" s="80" t="s">
        <v>448</v>
      </c>
      <c r="AA171" s="83">
        <f t="shared" si="71"/>
        <v>160650</v>
      </c>
      <c r="AB171" s="83">
        <f t="shared" si="72"/>
        <v>232050</v>
      </c>
      <c r="AC171" s="80" t="s">
        <v>448</v>
      </c>
      <c r="AD171" s="83" t="s">
        <v>472</v>
      </c>
      <c r="AE171" s="83" t="s">
        <v>473</v>
      </c>
      <c r="AF171" s="83" t="s">
        <v>474</v>
      </c>
      <c r="AG171" s="80" t="s">
        <v>449</v>
      </c>
    </row>
    <row r="172" spans="1:33">
      <c r="A172" s="39">
        <v>82</v>
      </c>
      <c r="B172" s="40">
        <f t="shared" si="58"/>
        <v>1</v>
      </c>
      <c r="C172" s="58" t="s">
        <v>45</v>
      </c>
      <c r="D172" s="41" t="str">
        <f t="shared" si="59"/>
        <v xml:space="preserve">      Additional Nuclear Fuel</v>
      </c>
      <c r="E172" s="41"/>
      <c r="F172" s="41"/>
      <c r="G172" s="41"/>
      <c r="H172" s="41"/>
      <c r="I172" s="41"/>
      <c r="J172" s="45"/>
      <c r="K172" s="63"/>
      <c r="L172" s="51"/>
      <c r="M172" s="61"/>
      <c r="N172" s="51"/>
      <c r="O172" s="51"/>
      <c r="P172" s="51"/>
      <c r="Q172" s="68"/>
      <c r="R172" s="51"/>
      <c r="S172" s="61"/>
      <c r="T172" s="51"/>
      <c r="U172" s="51"/>
      <c r="V172" s="51"/>
      <c r="W172" s="80"/>
      <c r="X172" s="84"/>
      <c r="Y172" s="84"/>
      <c r="Z172" s="80"/>
      <c r="AA172" s="83"/>
      <c r="AB172" s="83"/>
      <c r="AC172" s="80"/>
      <c r="AD172" s="83"/>
      <c r="AE172" s="83"/>
      <c r="AF172" s="83"/>
      <c r="AG172" s="80"/>
    </row>
    <row r="173" spans="1:33" ht="27">
      <c r="A173" s="39">
        <v>83</v>
      </c>
      <c r="B173" s="40">
        <f t="shared" si="58"/>
        <v>1</v>
      </c>
      <c r="C173" s="58" t="s">
        <v>46</v>
      </c>
      <c r="D173" s="41" t="str">
        <f t="shared" si="59"/>
        <v xml:space="preserve">      Spent Fuel Management</v>
      </c>
      <c r="E173" s="41" t="s">
        <v>341</v>
      </c>
      <c r="F173" s="41"/>
      <c r="G173" s="41"/>
      <c r="H173" s="41"/>
      <c r="I173" s="41"/>
      <c r="J173" s="45"/>
      <c r="K173" s="63">
        <v>1</v>
      </c>
      <c r="L173" s="51" t="s">
        <v>394</v>
      </c>
      <c r="M173" s="61" t="s">
        <v>395</v>
      </c>
      <c r="N173" s="51"/>
      <c r="O173" s="51"/>
      <c r="P173" s="51">
        <v>1</v>
      </c>
      <c r="Q173" s="68">
        <v>2024</v>
      </c>
      <c r="R173" s="51" t="s">
        <v>77</v>
      </c>
      <c r="S173" s="61"/>
      <c r="T173" s="51"/>
      <c r="U173" s="51"/>
      <c r="V173" s="51"/>
      <c r="W173" s="80" t="s">
        <v>465</v>
      </c>
      <c r="X173" s="84">
        <f t="shared" si="69"/>
        <v>0</v>
      </c>
      <c r="Y173" s="84">
        <f t="shared" si="70"/>
        <v>0</v>
      </c>
      <c r="Z173" s="80" t="s">
        <v>448</v>
      </c>
      <c r="AA173" s="83">
        <f t="shared" si="71"/>
        <v>0.9</v>
      </c>
      <c r="AB173" s="83">
        <f t="shared" si="72"/>
        <v>1.3</v>
      </c>
      <c r="AC173" s="80" t="s">
        <v>448</v>
      </c>
      <c r="AD173" s="83" t="s">
        <v>472</v>
      </c>
      <c r="AE173" s="83" t="s">
        <v>473</v>
      </c>
      <c r="AF173" s="83" t="s">
        <v>474</v>
      </c>
      <c r="AG173" s="80" t="s">
        <v>449</v>
      </c>
    </row>
  </sheetData>
  <autoFilter ref="A1:AB173" xr:uid="{F5330BDA-7164-B946-A942-FFAE4F744BBA}"/>
  <mergeCells count="53">
    <mergeCell ref="V112:V113"/>
    <mergeCell ref="S144:S147"/>
    <mergeCell ref="S162:S168"/>
    <mergeCell ref="T162:T168"/>
    <mergeCell ref="V162:V168"/>
    <mergeCell ref="S22:S24"/>
    <mergeCell ref="S26:S28"/>
    <mergeCell ref="S37:S39"/>
    <mergeCell ref="S41:S43"/>
    <mergeCell ref="T134:T139"/>
    <mergeCell ref="T100:T101"/>
    <mergeCell ref="T127:T132"/>
    <mergeCell ref="S52:S54"/>
    <mergeCell ref="T52:T54"/>
    <mergeCell ref="T46:T48"/>
    <mergeCell ref="S30:S32"/>
    <mergeCell ref="S46:S48"/>
    <mergeCell ref="S57:S59"/>
    <mergeCell ref="S61:S63"/>
    <mergeCell ref="S134:S139"/>
    <mergeCell ref="S127:S132"/>
    <mergeCell ref="T3:T4"/>
    <mergeCell ref="U3:U4"/>
    <mergeCell ref="U5:U6"/>
    <mergeCell ref="U22:U24"/>
    <mergeCell ref="U26:U28"/>
    <mergeCell ref="U37:U39"/>
    <mergeCell ref="U41:U43"/>
    <mergeCell ref="U46:U48"/>
    <mergeCell ref="T22:T24"/>
    <mergeCell ref="T26:T28"/>
    <mergeCell ref="T37:T39"/>
    <mergeCell ref="T41:T43"/>
    <mergeCell ref="T30:T32"/>
    <mergeCell ref="U30:U32"/>
    <mergeCell ref="S15:S17"/>
    <mergeCell ref="S11:S13"/>
    <mergeCell ref="T11:T13"/>
    <mergeCell ref="U11:U13"/>
    <mergeCell ref="T15:T17"/>
    <mergeCell ref="U15:U17"/>
    <mergeCell ref="V52:V54"/>
    <mergeCell ref="V100:V101"/>
    <mergeCell ref="T57:T59"/>
    <mergeCell ref="T61:T63"/>
    <mergeCell ref="U57:U59"/>
    <mergeCell ref="U61:U63"/>
    <mergeCell ref="U85:U91"/>
    <mergeCell ref="T76:T80"/>
    <mergeCell ref="U76:U80"/>
    <mergeCell ref="T68:T73"/>
    <mergeCell ref="U52:U54"/>
    <mergeCell ref="U100:U101"/>
  </mergeCells>
  <phoneticPr fontId="24" type="noConversion"/>
  <conditionalFormatting sqref="A92:B94 A96:B97">
    <cfRule type="expression" dxfId="348" priority="574">
      <formula>$B92=3</formula>
    </cfRule>
    <cfRule type="expression" dxfId="347" priority="575">
      <formula>$B92=2</formula>
    </cfRule>
    <cfRule type="expression" dxfId="346" priority="576">
      <formula>$B92&lt;2</formula>
    </cfRule>
  </conditionalFormatting>
  <conditionalFormatting sqref="A92:I94 A96:I97">
    <cfRule type="expression" dxfId="345" priority="185">
      <formula>$B92=0</formula>
    </cfRule>
  </conditionalFormatting>
  <conditionalFormatting sqref="A81:M81 A116:S117 U116:V117 U158:V160">
    <cfRule type="expression" dxfId="344" priority="583">
      <formula>$B81=0</formula>
    </cfRule>
  </conditionalFormatting>
  <conditionalFormatting sqref="A142:R149">
    <cfRule type="expression" dxfId="343" priority="683">
      <formula>$B142=3</formula>
    </cfRule>
    <cfRule type="expression" dxfId="342" priority="684">
      <formula>$B142=2</formula>
    </cfRule>
    <cfRule type="expression" dxfId="341" priority="685">
      <formula>$B142&lt;2</formula>
    </cfRule>
    <cfRule type="expression" dxfId="340" priority="686">
      <formula>$B142=0</formula>
    </cfRule>
  </conditionalFormatting>
  <conditionalFormatting sqref="A99:U99">
    <cfRule type="expression" dxfId="339" priority="791">
      <formula>$B99=3</formula>
    </cfRule>
    <cfRule type="expression" dxfId="338" priority="792">
      <formula>$B99=2</formula>
    </cfRule>
    <cfRule type="expression" dxfId="337" priority="793">
      <formula>$B99&lt;2</formula>
    </cfRule>
    <cfRule type="expression" dxfId="336" priority="794">
      <formula>$B99=0</formula>
    </cfRule>
  </conditionalFormatting>
  <conditionalFormatting sqref="A74:V91 A98:V98 A162:R168">
    <cfRule type="expression" dxfId="335" priority="488">
      <formula>$B74=3</formula>
    </cfRule>
    <cfRule type="expression" dxfId="334" priority="489">
      <formula>$B74=2</formula>
    </cfRule>
    <cfRule type="expression" dxfId="333" priority="490">
      <formula>$B74&lt;2</formula>
    </cfRule>
  </conditionalFormatting>
  <conditionalFormatting sqref="A83:V83">
    <cfRule type="expression" dxfId="332" priority="633">
      <formula>$B83=0</formula>
    </cfRule>
  </conditionalFormatting>
  <conditionalFormatting sqref="A90:V91 D92:D94 A114:V115 A118:V132 A133:AG136 A137:G138 I137:AG138 A139:AG161 D96:D97">
    <cfRule type="expression" dxfId="331" priority="623">
      <formula>$B90&lt;2</formula>
    </cfRule>
  </conditionalFormatting>
  <conditionalFormatting sqref="A103:V103 U105:V111 U112:U113 A116:S117 U116:V117 A133:AG136 A137:G138 I137:AG138 A139:AG161 A127:B132 U127:V132 U135:V140 A5:S6 A100:F102 A1:AG4 U5:AG6">
    <cfRule type="expression" dxfId="330" priority="787">
      <formula>$B1=3</formula>
    </cfRule>
  </conditionalFormatting>
  <conditionalFormatting sqref="A114:V115 A118:V132 A90:V91 D92:D94 A133:AG136 A137:G138 I137:AG138 A139:AG161 D96:D97">
    <cfRule type="expression" dxfId="329" priority="622">
      <formula>$B90=2</formula>
    </cfRule>
  </conditionalFormatting>
  <conditionalFormatting sqref="A114:V115">
    <cfRule type="expression" dxfId="328" priority="758">
      <formula>$B114=0</formula>
    </cfRule>
  </conditionalFormatting>
  <conditionalFormatting sqref="A118:V132 A114:V115">
    <cfRule type="expression" dxfId="327" priority="621">
      <formula>$B114=3</formula>
    </cfRule>
  </conditionalFormatting>
  <conditionalFormatting sqref="A141:V141">
    <cfRule type="expression" dxfId="326" priority="719">
      <formula>$B141=3</formula>
    </cfRule>
    <cfRule type="expression" dxfId="325" priority="720">
      <formula>$B141=2</formula>
    </cfRule>
    <cfRule type="expression" dxfId="324" priority="721">
      <formula>$B141&lt;2</formula>
    </cfRule>
    <cfRule type="expression" dxfId="323" priority="722">
      <formula>$B141=0</formula>
    </cfRule>
  </conditionalFormatting>
  <conditionalFormatting sqref="A170:V173">
    <cfRule type="expression" dxfId="322" priority="651">
      <formula>$B170=3</formula>
    </cfRule>
    <cfRule type="expression" dxfId="321" priority="652">
      <formula>$B170=2</formula>
    </cfRule>
    <cfRule type="expression" dxfId="320" priority="653">
      <formula>$B170&lt;2</formula>
    </cfRule>
    <cfRule type="expression" dxfId="319" priority="654">
      <formula>$B170=0</formula>
    </cfRule>
  </conditionalFormatting>
  <conditionalFormatting sqref="A1:AG4 A5:S6 U5:AG6 A100:F102 A103:V103 U105:V111 U112:U113 A116:S117 U116:V117 A127:B132 U127:V132 A133:V133 N134:V134 N135:R135 U135:V140 K136:R136 A140:T140 T144:V149 A150:V153 A154:J155 A156:L160 U158:V160">
    <cfRule type="expression" dxfId="318" priority="788">
      <formula>$B1=2</formula>
    </cfRule>
    <cfRule type="expression" dxfId="317" priority="789">
      <formula>$B1&lt;2</formula>
    </cfRule>
  </conditionalFormatting>
  <conditionalFormatting sqref="A1:AG4 A5:S6 U5:AG6 A7:AG51 A162:C168">
    <cfRule type="expression" dxfId="316" priority="491">
      <formula>$B1=0</formula>
    </cfRule>
  </conditionalFormatting>
  <conditionalFormatting sqref="A7:AG48">
    <cfRule type="expression" dxfId="315" priority="553">
      <formula>$B7=3</formula>
    </cfRule>
    <cfRule type="expression" dxfId="314" priority="554">
      <formula>$B7=2</formula>
    </cfRule>
    <cfRule type="expression" dxfId="313" priority="555">
      <formula>$B7&lt;2</formula>
    </cfRule>
  </conditionalFormatting>
  <conditionalFormatting sqref="A49:AG51 F52:AG52 A52:E54 F53:U54 W53:AG54 A55:AG75 A76:V82 A83:AG84 A92:B94 A103:AG112 A113:U113 W113:AG113 A114:AG123 A124:V124 A125:Y125 A126:AG126 S162:AG162 U163:U168 W163:AG168 A169:AG173 A89:AG89 A96:B97">
    <cfRule type="expression" dxfId="312" priority="752">
      <formula>$B49=2</formula>
    </cfRule>
  </conditionalFormatting>
  <conditionalFormatting sqref="A49:AG51 F52:AG52 A52:E54 F53:U54 W53:AG54 A55:AG75 A76:V82 A83:AG84 A89:AG89 A92:B94 A103:AG112 A113:U113 W113:AG113 A114:AG123 A124:V124 A125:Y125 A126:AG126 S162:AG162 U163:U168 W163:AG168 A169:AG173 A96:B97">
    <cfRule type="expression" dxfId="311" priority="753">
      <formula>$B49&lt;2</formula>
    </cfRule>
  </conditionalFormatting>
  <conditionalFormatting sqref="A85:AG88">
    <cfRule type="expression" dxfId="310" priority="524">
      <formula>$B85=3</formula>
    </cfRule>
    <cfRule type="expression" dxfId="309" priority="525">
      <formula>$B85=2</formula>
    </cfRule>
    <cfRule type="expression" dxfId="308" priority="526">
      <formula>$B85&lt;2</formula>
    </cfRule>
  </conditionalFormatting>
  <conditionalFormatting sqref="A89:AG91 D92:D94 A137:G138 I137:R138 A139:R139 D96:D97">
    <cfRule type="expression" dxfId="307" priority="735">
      <formula>$B89=3</formula>
    </cfRule>
  </conditionalFormatting>
  <conditionalFormatting sqref="A90:AG91 A133:AG136 A137:G138 I137:AG138 A139:AG161">
    <cfRule type="expression" dxfId="306" priority="556">
      <formula>$B90=0</formula>
    </cfRule>
  </conditionalFormatting>
  <conditionalFormatting sqref="A98:AG102">
    <cfRule type="expression" dxfId="305" priority="508">
      <formula>$B98=3</formula>
    </cfRule>
    <cfRule type="expression" dxfId="304" priority="509">
      <formula>$B98=2</formula>
    </cfRule>
    <cfRule type="expression" dxfId="303" priority="510">
      <formula>$B98&lt;2</formula>
    </cfRule>
  </conditionalFormatting>
  <conditionalFormatting sqref="A169:AG173 A55:AG75 A83:AG84 A114:AG123 A124:V124 A125:Y125 A126:AG126 A103:AG112 A76:V82 A92:B94 A49:AG51 F52:AG52 F53:U54 A52:E54 W53:AG54 A113:U113 W113:AG113 S162:AG162 U163:U168 W163:AG168 A96:B97">
    <cfRule type="expression" dxfId="302" priority="751">
      <formula>$B49=3</formula>
    </cfRule>
  </conditionalFormatting>
  <conditionalFormatting sqref="C92">
    <cfRule type="expression" dxfId="301" priority="428">
      <formula>$B92=3</formula>
    </cfRule>
    <cfRule type="expression" dxfId="300" priority="429">
      <formula>$B92=2</formula>
    </cfRule>
    <cfRule type="expression" dxfId="299" priority="430">
      <formula>$B92&lt;2</formula>
    </cfRule>
  </conditionalFormatting>
  <conditionalFormatting sqref="C92:C94">
    <cfRule type="expression" dxfId="298" priority="421">
      <formula>$B92=3</formula>
    </cfRule>
    <cfRule type="expression" dxfId="297" priority="422">
      <formula>$B92=2</formula>
    </cfRule>
    <cfRule type="expression" dxfId="296" priority="423">
      <formula>$B92&lt;2</formula>
    </cfRule>
  </conditionalFormatting>
  <conditionalFormatting sqref="C93:C94 C96">
    <cfRule type="expression" dxfId="295" priority="414">
      <formula>$B93=3</formula>
    </cfRule>
    <cfRule type="expression" dxfId="294" priority="415">
      <formula>$B93=2</formula>
    </cfRule>
    <cfRule type="expression" dxfId="293" priority="416">
      <formula>$B93&lt;2</formula>
    </cfRule>
  </conditionalFormatting>
  <conditionalFormatting sqref="C96:C97">
    <cfRule type="expression" dxfId="292" priority="407">
      <formula>$B96=3</formula>
    </cfRule>
    <cfRule type="expression" dxfId="291" priority="408">
      <formula>$B96=2</formula>
    </cfRule>
    <cfRule type="expression" dxfId="290" priority="409">
      <formula>$B96&lt;2</formula>
    </cfRule>
  </conditionalFormatting>
  <conditionalFormatting sqref="C97">
    <cfRule type="expression" dxfId="289" priority="404">
      <formula>$B97=3</formula>
    </cfRule>
    <cfRule type="expression" dxfId="288" priority="405">
      <formula>$B97=2</formula>
    </cfRule>
    <cfRule type="expression" dxfId="287" priority="406">
      <formula>$B97&lt;2</formula>
    </cfRule>
  </conditionalFormatting>
  <conditionalFormatting sqref="C127:T127 C128:R132">
    <cfRule type="expression" dxfId="286" priority="610">
      <formula>$B127=3</formula>
    </cfRule>
    <cfRule type="expression" dxfId="285" priority="611">
      <formula>$B127=2</formula>
    </cfRule>
    <cfRule type="expression" dxfId="284" priority="612">
      <formula>$B127&lt;2</formula>
    </cfRule>
    <cfRule type="expression" dxfId="283" priority="613">
      <formula>$B127=0</formula>
    </cfRule>
  </conditionalFormatting>
  <conditionalFormatting sqref="D2:D80 D82 D133:D173 D84:D94 D96:D126">
    <cfRule type="colorScale" priority="1039">
      <colorScale>
        <cfvo type="min"/>
        <cfvo type="max"/>
        <color rgb="FFFF7128"/>
        <color rgb="FFFFEF9C"/>
      </colorScale>
    </cfRule>
  </conditionalFormatting>
  <conditionalFormatting sqref="D81">
    <cfRule type="colorScale" priority="588">
      <colorScale>
        <cfvo type="min"/>
        <cfvo type="max"/>
        <color rgb="FFFF7128"/>
        <color rgb="FFFFEF9C"/>
      </colorScale>
    </cfRule>
  </conditionalFormatting>
  <conditionalFormatting sqref="D83">
    <cfRule type="colorScale" priority="634">
      <colorScale>
        <cfvo type="min"/>
        <cfvo type="max"/>
        <color rgb="FFFF7128"/>
        <color rgb="FFFFEF9C"/>
      </colorScale>
    </cfRule>
  </conditionalFormatting>
  <conditionalFormatting sqref="D127:D132">
    <cfRule type="colorScale" priority="614">
      <colorScale>
        <cfvo type="min"/>
        <cfvo type="max"/>
        <color rgb="FFFF7128"/>
        <color rgb="FFFFEF9C"/>
      </colorScale>
    </cfRule>
  </conditionalFormatting>
  <conditionalFormatting sqref="D92:E94 D96:E97">
    <cfRule type="expression" dxfId="282" priority="400">
      <formula>$B92=3</formula>
    </cfRule>
    <cfRule type="expression" dxfId="281" priority="401">
      <formula>$B92=2</formula>
    </cfRule>
    <cfRule type="expression" dxfId="280" priority="402">
      <formula>$B92&lt;2</formula>
    </cfRule>
  </conditionalFormatting>
  <conditionalFormatting sqref="E92:E94 E96:E97">
    <cfRule type="expression" dxfId="279" priority="397">
      <formula>$B92=3</formula>
    </cfRule>
    <cfRule type="expression" dxfId="278" priority="398">
      <formula>$B92=2</formula>
    </cfRule>
    <cfRule type="expression" dxfId="277" priority="399">
      <formula>$B92&lt;2</formula>
    </cfRule>
  </conditionalFormatting>
  <conditionalFormatting sqref="E127:Q132">
    <cfRule type="expression" dxfId="276" priority="609">
      <formula>_xlfn.ISFORMULA(E127)</formula>
    </cfRule>
  </conditionalFormatting>
  <conditionalFormatting sqref="F51:I54">
    <cfRule type="expression" dxfId="275" priority="558">
      <formula>$B51=3</formula>
    </cfRule>
    <cfRule type="expression" dxfId="274" priority="559">
      <formula>$B51=2</formula>
    </cfRule>
    <cfRule type="expression" dxfId="273" priority="560">
      <formula>$B51&lt;2</formula>
    </cfRule>
    <cfRule type="expression" dxfId="272" priority="561">
      <formula>$B51=0</formula>
    </cfRule>
  </conditionalFormatting>
  <conditionalFormatting sqref="F92:I92">
    <cfRule type="expression" dxfId="271" priority="379">
      <formula>$B92=3</formula>
    </cfRule>
    <cfRule type="expression" dxfId="270" priority="380">
      <formula>$B92=2</formula>
    </cfRule>
    <cfRule type="expression" dxfId="269" priority="381">
      <formula>$B92&lt;2</formula>
    </cfRule>
  </conditionalFormatting>
  <conditionalFormatting sqref="F92:I94 F96:I96">
    <cfRule type="expression" dxfId="268" priority="189">
      <formula>$B92=3</formula>
    </cfRule>
    <cfRule type="expression" dxfId="267" priority="190">
      <formula>$B92=2</formula>
    </cfRule>
    <cfRule type="expression" dxfId="266" priority="191">
      <formula>$B92&lt;2</formula>
    </cfRule>
  </conditionalFormatting>
  <conditionalFormatting sqref="F93:I93">
    <cfRule type="expression" dxfId="265" priority="75">
      <formula>$B93=3</formula>
    </cfRule>
    <cfRule type="expression" dxfId="264" priority="76">
      <formula>$B93=2</formula>
    </cfRule>
    <cfRule type="expression" dxfId="263" priority="77">
      <formula>$B93&lt;2</formula>
    </cfRule>
  </conditionalFormatting>
  <conditionalFormatting sqref="F94:I94 F96:I97">
    <cfRule type="expression" dxfId="262" priority="182">
      <formula>$B94=3</formula>
    </cfRule>
    <cfRule type="expression" dxfId="261" priority="183">
      <formula>$B94=2</formula>
    </cfRule>
    <cfRule type="expression" dxfId="260" priority="184">
      <formula>$B94&lt;2</formula>
    </cfRule>
  </conditionalFormatting>
  <conditionalFormatting sqref="F97:I97">
    <cfRule type="expression" dxfId="259" priority="179">
      <formula>$B97=3</formula>
    </cfRule>
    <cfRule type="expression" dxfId="258" priority="180">
      <formula>$B97=2</formula>
    </cfRule>
    <cfRule type="expression" dxfId="257" priority="181">
      <formula>$B97&lt;2</formula>
    </cfRule>
  </conditionalFormatting>
  <conditionalFormatting sqref="F53:U54 A55:AG75 A76:V82 A83:AG84 A85:V88 A89:AG89 A98:AG99 A100:V103 A103:AG112 A113:U113 A114:AG123 A118:V133 A125:Y125 A126:AG126 D162:R168 A169:AG173 W53:AG54 W113:AG113 S162:AG162 U163:U168 W163:AG168">
    <cfRule type="expression" dxfId="256" priority="754">
      <formula>$B53=0</formula>
    </cfRule>
  </conditionalFormatting>
  <conditionalFormatting sqref="F52:AG52 A52:E54">
    <cfRule type="expression" dxfId="255" priority="552">
      <formula>$B52=0</formula>
    </cfRule>
  </conditionalFormatting>
  <conditionalFormatting sqref="G100:I101">
    <cfRule type="expression" dxfId="254" priority="783">
      <formula>$B100=3</formula>
    </cfRule>
    <cfRule type="expression" dxfId="253" priority="784">
      <formula>$B100=2</formula>
    </cfRule>
    <cfRule type="expression" dxfId="252" priority="785">
      <formula>$B100&lt;2</formula>
    </cfRule>
    <cfRule type="expression" dxfId="251" priority="786">
      <formula>$B100=0</formula>
    </cfRule>
  </conditionalFormatting>
  <conditionalFormatting sqref="H137:H138 K154:L155">
    <cfRule type="expression" dxfId="250" priority="668">
      <formula>$B138=2</formula>
    </cfRule>
    <cfRule type="expression" dxfId="249" priority="669">
      <formula>$B138&lt;2</formula>
    </cfRule>
  </conditionalFormatting>
  <conditionalFormatting sqref="H137:H138">
    <cfRule type="expression" dxfId="248" priority="1058">
      <formula>$B138=2</formula>
    </cfRule>
    <cfRule type="expression" dxfId="247" priority="1059">
      <formula>$B138&lt;2</formula>
    </cfRule>
    <cfRule type="expression" dxfId="246" priority="1061">
      <formula>$B138=3</formula>
    </cfRule>
  </conditionalFormatting>
  <conditionalFormatting sqref="I137:R138 A139:R139">
    <cfRule type="expression" dxfId="245" priority="738">
      <formula>$B137=0</formula>
    </cfRule>
  </conditionalFormatting>
  <conditionalFormatting sqref="J5">
    <cfRule type="expression" dxfId="244" priority="589">
      <formula>$B5=3</formula>
    </cfRule>
    <cfRule type="expression" dxfId="243" priority="590">
      <formula>$B5=2</formula>
    </cfRule>
    <cfRule type="expression" dxfId="242" priority="591">
      <formula>$B5&lt;2</formula>
    </cfRule>
    <cfRule type="expression" dxfId="241" priority="592">
      <formula>$B5=0</formula>
    </cfRule>
  </conditionalFormatting>
  <conditionalFormatting sqref="J71:L73">
    <cfRule type="expression" dxfId="240" priority="640">
      <formula>_xlfn.ISFORMULA(J71)</formula>
    </cfRule>
    <cfRule type="expression" dxfId="239" priority="644">
      <formula>$B71=0</formula>
    </cfRule>
  </conditionalFormatting>
  <conditionalFormatting sqref="J1:Q91 J98:Q1048576">
    <cfRule type="expression" dxfId="238" priority="650">
      <formula>_xlfn.ISFORMULA(J1)</formula>
    </cfRule>
  </conditionalFormatting>
  <conditionalFormatting sqref="J68:Q70">
    <cfRule type="expression" dxfId="237" priority="645">
      <formula>_xlfn.ISFORMULA(J68)</formula>
    </cfRule>
  </conditionalFormatting>
  <conditionalFormatting sqref="J69:S73">
    <cfRule type="expression" dxfId="236" priority="636">
      <formula>$B69=3</formula>
    </cfRule>
    <cfRule type="expression" dxfId="235" priority="637">
      <formula>$B69=2</formula>
    </cfRule>
    <cfRule type="expression" dxfId="234" priority="638">
      <formula>$B69&lt;2</formula>
    </cfRule>
  </conditionalFormatting>
  <conditionalFormatting sqref="J68:V68 J69:S70 U69:V73">
    <cfRule type="expression" dxfId="233" priority="649">
      <formula>$B68=0</formula>
    </cfRule>
  </conditionalFormatting>
  <conditionalFormatting sqref="J68:V68 U69:V73">
    <cfRule type="expression" dxfId="232" priority="646">
      <formula>$B68=3</formula>
    </cfRule>
    <cfRule type="expression" dxfId="231" priority="647">
      <formula>$B68=2</formula>
    </cfRule>
    <cfRule type="expression" dxfId="230" priority="648">
      <formula>$B68&lt;2</formula>
    </cfRule>
  </conditionalFormatting>
  <conditionalFormatting sqref="K81">
    <cfRule type="expression" dxfId="229" priority="582">
      <formula>_xlfn.ISFORMULA(K81)</formula>
    </cfRule>
  </conditionalFormatting>
  <conditionalFormatting sqref="K96:L96">
    <cfRule type="expression" dxfId="228" priority="159">
      <formula>$B96=3</formula>
    </cfRule>
    <cfRule type="expression" dxfId="227" priority="160">
      <formula>$B96=2</formula>
    </cfRule>
    <cfRule type="expression" dxfId="226" priority="161">
      <formula>$B96&lt;2</formula>
    </cfRule>
  </conditionalFormatting>
  <conditionalFormatting sqref="K97:L97">
    <cfRule type="expression" dxfId="225" priority="147">
      <formula>$B97=3</formula>
    </cfRule>
    <cfRule type="expression" dxfId="224" priority="148">
      <formula>$B97=2</formula>
    </cfRule>
    <cfRule type="expression" dxfId="223" priority="149">
      <formula>$B97&lt;2</formula>
    </cfRule>
  </conditionalFormatting>
  <conditionalFormatting sqref="K154:L155 H137:H138">
    <cfRule type="expression" dxfId="222" priority="667">
      <formula>$B138=3</formula>
    </cfRule>
    <cfRule type="expression" dxfId="221" priority="670">
      <formula>$B138=0</formula>
    </cfRule>
  </conditionalFormatting>
  <conditionalFormatting sqref="K92:M92">
    <cfRule type="expression" dxfId="220" priority="333">
      <formula>$B92=3</formula>
    </cfRule>
    <cfRule type="expression" dxfId="219" priority="334">
      <formula>$B92=2</formula>
    </cfRule>
    <cfRule type="expression" dxfId="218" priority="335">
      <formula>$B92&lt;2</formula>
    </cfRule>
  </conditionalFormatting>
  <conditionalFormatting sqref="K92:M94">
    <cfRule type="expression" dxfId="217" priority="325">
      <formula>$B92=3</formula>
    </cfRule>
    <cfRule type="expression" dxfId="216" priority="326">
      <formula>$B92=2</formula>
    </cfRule>
    <cfRule type="expression" dxfId="215" priority="327">
      <formula>$B92&lt;2</formula>
    </cfRule>
  </conditionalFormatting>
  <conditionalFormatting sqref="K92:M94 K96:M97">
    <cfRule type="expression" dxfId="214" priority="150">
      <formula>_xlfn.ISFORMULA(K92)</formula>
    </cfRule>
    <cfRule type="expression" dxfId="213" priority="154">
      <formula>$B92=0</formula>
    </cfRule>
  </conditionalFormatting>
  <conditionalFormatting sqref="K93:M93">
    <cfRule type="expression" dxfId="212" priority="72">
      <formula>$B93=3</formula>
    </cfRule>
    <cfRule type="expression" dxfId="211" priority="73">
      <formula>$B93=2</formula>
    </cfRule>
    <cfRule type="expression" dxfId="210" priority="74">
      <formula>$B93&lt;2</formula>
    </cfRule>
  </conditionalFormatting>
  <conditionalFormatting sqref="K94:M94 K96:M97">
    <cfRule type="expression" dxfId="209" priority="151">
      <formula>$B94=3</formula>
    </cfRule>
    <cfRule type="expression" dxfId="208" priority="152">
      <formula>$B94=2</formula>
    </cfRule>
    <cfRule type="expression" dxfId="207" priority="153">
      <formula>$B94&lt;2</formula>
    </cfRule>
  </conditionalFormatting>
  <conditionalFormatting sqref="K134:M135">
    <cfRule type="expression" dxfId="206" priority="747">
      <formula>$B134=3</formula>
    </cfRule>
    <cfRule type="expression" dxfId="205" priority="748">
      <formula>$B134=2</formula>
    </cfRule>
    <cfRule type="expression" dxfId="204" priority="749">
      <formula>$B134&lt;2</formula>
    </cfRule>
    <cfRule type="expression" dxfId="203" priority="750">
      <formula>$B134=0</formula>
    </cfRule>
  </conditionalFormatting>
  <conditionalFormatting sqref="L104">
    <cfRule type="expression" dxfId="202" priority="596">
      <formula>$B104=0</formula>
    </cfRule>
    <cfRule type="expression" dxfId="201" priority="986">
      <formula>#REF!=2</formula>
    </cfRule>
    <cfRule type="expression" dxfId="200" priority="987">
      <formula>#REF!&lt;2</formula>
    </cfRule>
    <cfRule type="expression" dxfId="199" priority="988">
      <formula>#REF!=0</formula>
    </cfRule>
    <cfRule type="expression" dxfId="198" priority="989">
      <formula>#REF!=3</formula>
    </cfRule>
  </conditionalFormatting>
  <conditionalFormatting sqref="L104:V104">
    <cfRule type="expression" dxfId="197" priority="593">
      <formula>$B104=3</formula>
    </cfRule>
    <cfRule type="expression" dxfId="196" priority="594">
      <formula>$B104=2</formula>
    </cfRule>
    <cfRule type="expression" dxfId="195" priority="595">
      <formula>$B104&lt;2</formula>
    </cfRule>
  </conditionalFormatting>
  <conditionalFormatting sqref="M96:M97">
    <cfRule type="expression" dxfId="194" priority="197">
      <formula>$B96=3</formula>
    </cfRule>
    <cfRule type="expression" dxfId="193" priority="198">
      <formula>$B96=2</formula>
    </cfRule>
    <cfRule type="expression" dxfId="192" priority="199">
      <formula>$B96&lt;2</formula>
    </cfRule>
  </conditionalFormatting>
  <conditionalFormatting sqref="N81">
    <cfRule type="expression" dxfId="191" priority="577">
      <formula>_xlfn.ISFORMULA(N81)</formula>
    </cfRule>
  </conditionalFormatting>
  <conditionalFormatting sqref="N81:V81">
    <cfRule type="expression" dxfId="190" priority="578">
      <formula>$B81=0</formula>
    </cfRule>
  </conditionalFormatting>
  <conditionalFormatting sqref="N134:V134 N135:R135 K136:R136 A140:T140 A150:V153 A154:J155 A100:F102 U105:V111 U112:U113 A127:B132 U135:V140 T144:V149">
    <cfRule type="expression" dxfId="189" priority="790">
      <formula>$B100=0</formula>
    </cfRule>
  </conditionalFormatting>
  <conditionalFormatting sqref="O92">
    <cfRule type="expression" dxfId="188" priority="317">
      <formula>$B92=3</formula>
    </cfRule>
    <cfRule type="expression" dxfId="187" priority="318">
      <formula>$B92=2</formula>
    </cfRule>
    <cfRule type="expression" dxfId="186" priority="319">
      <formula>$B92&lt;2</formula>
    </cfRule>
  </conditionalFormatting>
  <conditionalFormatting sqref="O92:O94 O96:O97">
    <cfRule type="expression" dxfId="185" priority="308">
      <formula>_xlfn.ISFORMULA(O92)</formula>
    </cfRule>
    <cfRule type="expression" dxfId="184" priority="309">
      <formula>$B92=3</formula>
    </cfRule>
    <cfRule type="expression" dxfId="183" priority="310">
      <formula>$B92=2</formula>
    </cfRule>
    <cfRule type="expression" dxfId="182" priority="311">
      <formula>$B92&lt;2</formula>
    </cfRule>
    <cfRule type="expression" dxfId="181" priority="312">
      <formula>$B92=0</formula>
    </cfRule>
  </conditionalFormatting>
  <conditionalFormatting sqref="O93:O94 O96:O97">
    <cfRule type="expression" dxfId="180" priority="305">
      <formula>$B93=3</formula>
    </cfRule>
    <cfRule type="expression" dxfId="179" priority="306">
      <formula>$B93=2</formula>
    </cfRule>
    <cfRule type="expression" dxfId="178" priority="307">
      <formula>$B93&lt;2</formula>
    </cfRule>
  </conditionalFormatting>
  <conditionalFormatting sqref="Q71:Q73">
    <cfRule type="expression" dxfId="177" priority="635">
      <formula>_xlfn.ISFORMULA(Q71)</formula>
    </cfRule>
  </conditionalFormatting>
  <conditionalFormatting sqref="Q92:Q94 Q96:Q97">
    <cfRule type="expression" dxfId="176" priority="134">
      <formula>_xlfn.ISFORMULA(Q92)</formula>
    </cfRule>
    <cfRule type="expression" dxfId="175" priority="138">
      <formula>$B92=0</formula>
    </cfRule>
  </conditionalFormatting>
  <conditionalFormatting sqref="Q116:Q117 E83:Q83">
    <cfRule type="expression" dxfId="174" priority="629">
      <formula>_xlfn.ISFORMULA(E83)</formula>
    </cfRule>
  </conditionalFormatting>
  <conditionalFormatting sqref="Q141">
    <cfRule type="expression" dxfId="173" priority="804">
      <formula>$B142=3</formula>
    </cfRule>
    <cfRule type="expression" dxfId="172" priority="805">
      <formula>$B142=2</formula>
    </cfRule>
    <cfRule type="expression" dxfId="171" priority="806">
      <formula>$B142&lt;2</formula>
    </cfRule>
    <cfRule type="expression" dxfId="170" priority="807">
      <formula>$B142=0</formula>
    </cfRule>
  </conditionalFormatting>
  <conditionalFormatting sqref="Q92:R92">
    <cfRule type="expression" dxfId="169" priority="285">
      <formula>$B92=3</formula>
    </cfRule>
    <cfRule type="expression" dxfId="168" priority="286">
      <formula>$B92=2</formula>
    </cfRule>
    <cfRule type="expression" dxfId="167" priority="287">
      <formula>$B92&lt;2</formula>
    </cfRule>
  </conditionalFormatting>
  <conditionalFormatting sqref="Q92:R94">
    <cfRule type="expression" dxfId="166" priority="278">
      <formula>$B92=3</formula>
    </cfRule>
    <cfRule type="expression" dxfId="165" priority="279">
      <formula>$B92=2</formula>
    </cfRule>
    <cfRule type="expression" dxfId="164" priority="280">
      <formula>$B92&lt;2</formula>
    </cfRule>
  </conditionalFormatting>
  <conditionalFormatting sqref="Q96:R96">
    <cfRule type="expression" dxfId="163" priority="127">
      <formula>$B96=3</formula>
    </cfRule>
    <cfRule type="expression" dxfId="162" priority="128">
      <formula>$B96=2</formula>
    </cfRule>
    <cfRule type="expression" dxfId="161" priority="129">
      <formula>$B96&lt;2</formula>
    </cfRule>
  </conditionalFormatting>
  <conditionalFormatting sqref="Q96:R97">
    <cfRule type="expression" dxfId="160" priority="120">
      <formula>$B96=3</formula>
    </cfRule>
    <cfRule type="expression" dxfId="159" priority="121">
      <formula>$B96=2</formula>
    </cfRule>
    <cfRule type="expression" dxfId="158" priority="122">
      <formula>$B96&lt;2</formula>
    </cfRule>
  </conditionalFormatting>
  <conditionalFormatting sqref="Q71:S73">
    <cfRule type="expression" dxfId="157" priority="639">
      <formula>$B71=0</formula>
    </cfRule>
  </conditionalFormatting>
  <conditionalFormatting sqref="Q93:S93">
    <cfRule type="expression" dxfId="156" priority="78">
      <formula>$B93=3</formula>
    </cfRule>
    <cfRule type="expression" dxfId="155" priority="79">
      <formula>$B93=2</formula>
    </cfRule>
    <cfRule type="expression" dxfId="154" priority="80">
      <formula>$B93&lt;2</formula>
    </cfRule>
  </conditionalFormatting>
  <conditionalFormatting sqref="Q94:S94">
    <cfRule type="expression" dxfId="153" priority="271">
      <formula>$B94=3</formula>
    </cfRule>
    <cfRule type="expression" dxfId="152" priority="272">
      <formula>$B94=2</formula>
    </cfRule>
    <cfRule type="expression" dxfId="151" priority="273">
      <formula>$B94&lt;2</formula>
    </cfRule>
  </conditionalFormatting>
  <conditionalFormatting sqref="Q97:S97">
    <cfRule type="expression" dxfId="150" priority="113">
      <formula>$B97=3</formula>
    </cfRule>
    <cfRule type="expression" dxfId="149" priority="114">
      <formula>$B97=2</formula>
    </cfRule>
    <cfRule type="expression" dxfId="148" priority="115">
      <formula>$B97&lt;2</formula>
    </cfRule>
  </conditionalFormatting>
  <conditionalFormatting sqref="R92:T94 R96:T97">
    <cfRule type="expression" dxfId="147" priority="95">
      <formula>$B92=0</formula>
    </cfRule>
  </conditionalFormatting>
  <conditionalFormatting sqref="S92:S94">
    <cfRule type="expression" dxfId="146" priority="264">
      <formula>$B92=3</formula>
    </cfRule>
    <cfRule type="expression" dxfId="145" priority="265">
      <formula>$B92=2</formula>
    </cfRule>
    <cfRule type="expression" dxfId="144" priority="266">
      <formula>$B92&lt;2</formula>
    </cfRule>
  </conditionalFormatting>
  <conditionalFormatting sqref="S96:S97">
    <cfRule type="expression" dxfId="143" priority="106">
      <formula>$B96=3</formula>
    </cfRule>
    <cfRule type="expression" dxfId="142" priority="107">
      <formula>$B96=2</formula>
    </cfRule>
    <cfRule type="expression" dxfId="141" priority="108">
      <formula>$B96&lt;2</formula>
    </cfRule>
  </conditionalFormatting>
  <conditionalFormatting sqref="S144">
    <cfRule type="expression" dxfId="140" priority="731">
      <formula>$B144=3</formula>
    </cfRule>
    <cfRule type="expression" dxfId="139" priority="732">
      <formula>$B144=2</formula>
    </cfRule>
    <cfRule type="expression" dxfId="138" priority="733">
      <formula>$B144&lt;2</formula>
    </cfRule>
    <cfRule type="expression" dxfId="137" priority="734">
      <formula>$B144=0</formula>
    </cfRule>
  </conditionalFormatting>
  <conditionalFormatting sqref="S148:S149">
    <cfRule type="expression" dxfId="136" priority="727">
      <formula>$B148=3</formula>
    </cfRule>
    <cfRule type="expression" dxfId="135" priority="728">
      <formula>$B148=2</formula>
    </cfRule>
    <cfRule type="expression" dxfId="134" priority="729">
      <formula>$B148&lt;2</formula>
    </cfRule>
    <cfRule type="expression" dxfId="133" priority="730">
      <formula>$B148=0</formula>
    </cfRule>
  </conditionalFormatting>
  <conditionalFormatting sqref="S92:T92">
    <cfRule type="expression" dxfId="132" priority="257">
      <formula>$B92=3</formula>
    </cfRule>
    <cfRule type="expression" dxfId="131" priority="258">
      <formula>$B92=2</formula>
    </cfRule>
    <cfRule type="expression" dxfId="130" priority="259">
      <formula>$B92&lt;2</formula>
    </cfRule>
  </conditionalFormatting>
  <conditionalFormatting sqref="S96:T96">
    <cfRule type="expression" dxfId="129" priority="96">
      <formula>$B96=3</formula>
    </cfRule>
    <cfRule type="expression" dxfId="128" priority="97">
      <formula>$B96=2</formula>
    </cfRule>
    <cfRule type="expression" dxfId="127" priority="98">
      <formula>$B96&lt;2</formula>
    </cfRule>
  </conditionalFormatting>
  <conditionalFormatting sqref="S87:V88">
    <cfRule type="expression" dxfId="126" priority="628">
      <formula>$B87=0</formula>
    </cfRule>
  </conditionalFormatting>
  <conditionalFormatting sqref="S142:V143">
    <cfRule type="expression" dxfId="125" priority="691">
      <formula>$B142=3</formula>
    </cfRule>
    <cfRule type="expression" dxfId="124" priority="692">
      <formula>$B142=2</formula>
    </cfRule>
    <cfRule type="expression" dxfId="123" priority="693">
      <formula>$B142&lt;2</formula>
    </cfRule>
    <cfRule type="expression" dxfId="122" priority="694">
      <formula>$B142=0</formula>
    </cfRule>
  </conditionalFormatting>
  <conditionalFormatting sqref="T5">
    <cfRule type="expression" dxfId="121" priority="484">
      <formula>$B5=0</formula>
    </cfRule>
    <cfRule type="expression" dxfId="120" priority="485">
      <formula>$B5=3</formula>
    </cfRule>
    <cfRule type="expression" dxfId="119" priority="486">
      <formula>$B5=2</formula>
    </cfRule>
    <cfRule type="expression" dxfId="118" priority="487">
      <formula>$B5&lt;2</formula>
    </cfRule>
  </conditionalFormatting>
  <conditionalFormatting sqref="T6">
    <cfRule type="expression" dxfId="117" priority="1042">
      <formula>$B5=2</formula>
    </cfRule>
    <cfRule type="expression" dxfId="116" priority="1043">
      <formula>$B5&lt;2</formula>
    </cfRule>
    <cfRule type="expression" dxfId="115" priority="1045">
      <formula>$B5=0</formula>
    </cfRule>
    <cfRule type="expression" dxfId="114" priority="1047">
      <formula>$B5=3</formula>
    </cfRule>
  </conditionalFormatting>
  <conditionalFormatting sqref="T92:T94">
    <cfRule type="expression" dxfId="113" priority="250">
      <formula>$B92=3</formula>
    </cfRule>
    <cfRule type="expression" dxfId="112" priority="251">
      <formula>$B92=2</formula>
    </cfRule>
    <cfRule type="expression" dxfId="111" priority="252">
      <formula>$B92&lt;2</formula>
    </cfRule>
  </conditionalFormatting>
  <conditionalFormatting sqref="T93:T94 T96">
    <cfRule type="expression" dxfId="110" priority="99">
      <formula>$B93=3</formula>
    </cfRule>
    <cfRule type="expression" dxfId="109" priority="100">
      <formula>$B93=2</formula>
    </cfRule>
    <cfRule type="expression" dxfId="108" priority="101">
      <formula>$B93&lt;2</formula>
    </cfRule>
  </conditionalFormatting>
  <conditionalFormatting sqref="T97">
    <cfRule type="expression" dxfId="107" priority="89">
      <formula>$B97=3</formula>
    </cfRule>
    <cfRule type="expression" dxfId="106" priority="90">
      <formula>$B97=2</formula>
    </cfRule>
    <cfRule type="expression" dxfId="105" priority="91">
      <formula>$B97&lt;2</formula>
    </cfRule>
    <cfRule type="expression" dxfId="104" priority="92">
      <formula>$B97=3</formula>
    </cfRule>
    <cfRule type="expression" dxfId="103" priority="93">
      <formula>$B97=2</formula>
    </cfRule>
    <cfRule type="expression" dxfId="102" priority="94">
      <formula>$B97&lt;2</formula>
    </cfRule>
  </conditionalFormatting>
  <conditionalFormatting sqref="U100">
    <cfRule type="expression" dxfId="101" priority="812">
      <formula>$B99=3</formula>
    </cfRule>
    <cfRule type="expression" dxfId="100" priority="813">
      <formula>$B99=2</formula>
    </cfRule>
    <cfRule type="expression" dxfId="99" priority="814">
      <formula>$B99&lt;2</formula>
    </cfRule>
    <cfRule type="expression" dxfId="98" priority="815">
      <formula>$B99=0</formula>
    </cfRule>
  </conditionalFormatting>
  <conditionalFormatting sqref="U127:AG132">
    <cfRule type="expression" dxfId="97" priority="435">
      <formula>$B127=0</formula>
    </cfRule>
  </conditionalFormatting>
  <conditionalFormatting sqref="W92:W94 W96:W97">
    <cfRule type="expression" dxfId="96" priority="239">
      <formula>$B92=3</formula>
    </cfRule>
    <cfRule type="expression" dxfId="95" priority="240">
      <formula>$B92=2</formula>
    </cfRule>
    <cfRule type="expression" dxfId="94" priority="241">
      <formula>$B92&lt;2</formula>
    </cfRule>
    <cfRule type="expression" dxfId="93" priority="242">
      <formula>$B92=0</formula>
    </cfRule>
  </conditionalFormatting>
  <conditionalFormatting sqref="W76:AG82">
    <cfRule type="expression" dxfId="92" priority="532">
      <formula>$B76=3</formula>
    </cfRule>
    <cfRule type="expression" dxfId="91" priority="533">
      <formula>$B76=2</formula>
    </cfRule>
    <cfRule type="expression" dxfId="90" priority="534">
      <formula>$B76&lt;2</formula>
    </cfRule>
    <cfRule type="expression" dxfId="89" priority="535">
      <formula>$B76=0</formula>
    </cfRule>
  </conditionalFormatting>
  <conditionalFormatting sqref="W85:AG88">
    <cfRule type="expression" dxfId="88" priority="527">
      <formula>$B85=0</formula>
    </cfRule>
  </conditionalFormatting>
  <conditionalFormatting sqref="W90:AG91 A137:G138 I137:R138 A139:R139">
    <cfRule type="expression" dxfId="87" priority="736">
      <formula>$B90=2</formula>
    </cfRule>
    <cfRule type="expression" dxfId="86" priority="737">
      <formula>$B90&lt;2</formula>
    </cfRule>
  </conditionalFormatting>
  <conditionalFormatting sqref="W100:AG102">
    <cfRule type="expression" dxfId="85" priority="511">
      <formula>$B100=0</formula>
    </cfRule>
  </conditionalFormatting>
  <conditionalFormatting sqref="W124:AG124">
    <cfRule type="expression" dxfId="84" priority="504">
      <formula>$B124=3</formula>
    </cfRule>
    <cfRule type="expression" dxfId="83" priority="505">
      <formula>$B124=2</formula>
    </cfRule>
    <cfRule type="expression" dxfId="82" priority="506">
      <formula>$B124&lt;2</formula>
    </cfRule>
    <cfRule type="expression" dxfId="81" priority="507">
      <formula>$B124=0</formula>
    </cfRule>
  </conditionalFormatting>
  <conditionalFormatting sqref="W127:AG132">
    <cfRule type="expression" dxfId="80" priority="432">
      <formula>$B127=3</formula>
    </cfRule>
    <cfRule type="expression" dxfId="79" priority="433">
      <formula>$B127=2</formula>
    </cfRule>
    <cfRule type="expression" dxfId="78" priority="434">
      <formula>$B127&lt;2</formula>
    </cfRule>
  </conditionalFormatting>
  <conditionalFormatting sqref="Z92:AG94 Z96:AG97">
    <cfRule type="expression" dxfId="77" priority="81">
      <formula>$B92=3</formula>
    </cfRule>
    <cfRule type="expression" dxfId="76" priority="82">
      <formula>$B92=2</formula>
    </cfRule>
    <cfRule type="expression" dxfId="75" priority="83">
      <formula>$B92&lt;2</formula>
    </cfRule>
    <cfRule type="expression" dxfId="74" priority="84">
      <formula>$B92=0</formula>
    </cfRule>
  </conditionalFormatting>
  <conditionalFormatting sqref="Z125:AG125">
    <cfRule type="expression" dxfId="73" priority="480">
      <formula>$B125=3</formula>
    </cfRule>
    <cfRule type="expression" dxfId="72" priority="481">
      <formula>$B125=2</formula>
    </cfRule>
    <cfRule type="expression" dxfId="71" priority="482">
      <formula>$B125&lt;2</formula>
    </cfRule>
    <cfRule type="expression" dxfId="70" priority="483">
      <formula>$B125=0</formula>
    </cfRule>
  </conditionalFormatting>
  <conditionalFormatting sqref="A95:B95">
    <cfRule type="expression" dxfId="69" priority="62">
      <formula>$B95=3</formula>
    </cfRule>
    <cfRule type="expression" dxfId="68" priority="63">
      <formula>$B95=2</formula>
    </cfRule>
    <cfRule type="expression" dxfId="67" priority="64">
      <formula>$B95&lt;2</formula>
    </cfRule>
  </conditionalFormatting>
  <conditionalFormatting sqref="A95:I95">
    <cfRule type="expression" dxfId="66" priority="37">
      <formula>$B95=0</formula>
    </cfRule>
  </conditionalFormatting>
  <conditionalFormatting sqref="D95">
    <cfRule type="expression" dxfId="65" priority="66">
      <formula>$B95&lt;2</formula>
    </cfRule>
  </conditionalFormatting>
  <conditionalFormatting sqref="D95">
    <cfRule type="expression" dxfId="64" priority="65">
      <formula>$B95=2</formula>
    </cfRule>
  </conditionalFormatting>
  <conditionalFormatting sqref="A95:B95">
    <cfRule type="expression" dxfId="63" priority="69">
      <formula>$B95=2</formula>
    </cfRule>
  </conditionalFormatting>
  <conditionalFormatting sqref="A95:B95">
    <cfRule type="expression" dxfId="62" priority="70">
      <formula>$B95&lt;2</formula>
    </cfRule>
  </conditionalFormatting>
  <conditionalFormatting sqref="D95">
    <cfRule type="expression" dxfId="61" priority="67">
      <formula>$B95=3</formula>
    </cfRule>
  </conditionalFormatting>
  <conditionalFormatting sqref="A95:B95">
    <cfRule type="expression" dxfId="60" priority="68">
      <formula>$B95=3</formula>
    </cfRule>
  </conditionalFormatting>
  <conditionalFormatting sqref="C95">
    <cfRule type="expression" dxfId="59" priority="59">
      <formula>$B95=3</formula>
    </cfRule>
    <cfRule type="expression" dxfId="58" priority="60">
      <formula>$B95=2</formula>
    </cfRule>
    <cfRule type="expression" dxfId="57" priority="61">
      <formula>$B95&lt;2</formula>
    </cfRule>
  </conditionalFormatting>
  <conditionalFormatting sqref="D95">
    <cfRule type="colorScale" priority="71">
      <colorScale>
        <cfvo type="min"/>
        <cfvo type="max"/>
        <color rgb="FFFF7128"/>
        <color rgb="FFFFEF9C"/>
      </colorScale>
    </cfRule>
  </conditionalFormatting>
  <conditionalFormatting sqref="D95:E95">
    <cfRule type="expression" dxfId="56" priority="56">
      <formula>$B95=3</formula>
    </cfRule>
    <cfRule type="expression" dxfId="55" priority="57">
      <formula>$B95=2</formula>
    </cfRule>
    <cfRule type="expression" dxfId="54" priority="58">
      <formula>$B95&lt;2</formula>
    </cfRule>
  </conditionalFormatting>
  <conditionalFormatting sqref="E95">
    <cfRule type="expression" dxfId="53" priority="53">
      <formula>$B95=3</formula>
    </cfRule>
    <cfRule type="expression" dxfId="52" priority="54">
      <formula>$B95=2</formula>
    </cfRule>
    <cfRule type="expression" dxfId="51" priority="55">
      <formula>$B95&lt;2</formula>
    </cfRule>
  </conditionalFormatting>
  <conditionalFormatting sqref="F95:I95">
    <cfRule type="expression" dxfId="50" priority="38">
      <formula>$B95=3</formula>
    </cfRule>
    <cfRule type="expression" dxfId="49" priority="39">
      <formula>$B95=2</formula>
    </cfRule>
    <cfRule type="expression" dxfId="48" priority="40">
      <formula>$B95&lt;2</formula>
    </cfRule>
  </conditionalFormatting>
  <conditionalFormatting sqref="K95:M95">
    <cfRule type="expression" dxfId="47" priority="35">
      <formula>_xlfn.ISFORMULA(K95)</formula>
    </cfRule>
    <cfRule type="expression" dxfId="46" priority="36">
      <formula>$B95=0</formula>
    </cfRule>
  </conditionalFormatting>
  <conditionalFormatting sqref="O95">
    <cfRule type="expression" dxfId="45" priority="48">
      <formula>_xlfn.ISFORMULA(O95)</formula>
    </cfRule>
    <cfRule type="expression" dxfId="44" priority="49">
      <formula>$B95=3</formula>
    </cfRule>
    <cfRule type="expression" dxfId="43" priority="50">
      <formula>$B95=2</formula>
    </cfRule>
    <cfRule type="expression" dxfId="42" priority="51">
      <formula>$B95&lt;2</formula>
    </cfRule>
    <cfRule type="expression" dxfId="41" priority="52">
      <formula>$B95=0</formula>
    </cfRule>
  </conditionalFormatting>
  <conditionalFormatting sqref="O95">
    <cfRule type="expression" dxfId="40" priority="45">
      <formula>$B95=3</formula>
    </cfRule>
    <cfRule type="expression" dxfId="39" priority="46">
      <formula>$B95=2</formula>
    </cfRule>
    <cfRule type="expression" dxfId="38" priority="47">
      <formula>$B95&lt;2</formula>
    </cfRule>
  </conditionalFormatting>
  <conditionalFormatting sqref="Q95">
    <cfRule type="expression" dxfId="37" priority="33">
      <formula>_xlfn.ISFORMULA(Q95)</formula>
    </cfRule>
    <cfRule type="expression" dxfId="36" priority="34">
      <formula>$B95=0</formula>
    </cfRule>
  </conditionalFormatting>
  <conditionalFormatting sqref="R95:T95">
    <cfRule type="expression" dxfId="35" priority="29">
      <formula>$B95=0</formula>
    </cfRule>
  </conditionalFormatting>
  <conditionalFormatting sqref="T95">
    <cfRule type="expression" dxfId="34" priority="30">
      <formula>$B95=3</formula>
    </cfRule>
    <cfRule type="expression" dxfId="33" priority="31">
      <formula>$B95=2</formula>
    </cfRule>
    <cfRule type="expression" dxfId="32" priority="32">
      <formula>$B95&lt;2</formula>
    </cfRule>
  </conditionalFormatting>
  <conditionalFormatting sqref="W95">
    <cfRule type="expression" dxfId="31" priority="41">
      <formula>$B95=3</formula>
    </cfRule>
    <cfRule type="expression" dxfId="30" priority="42">
      <formula>$B95=2</formula>
    </cfRule>
    <cfRule type="expression" dxfId="29" priority="43">
      <formula>$B95&lt;2</formula>
    </cfRule>
    <cfRule type="expression" dxfId="28" priority="44">
      <formula>$B95=0</formula>
    </cfRule>
  </conditionalFormatting>
  <conditionalFormatting sqref="Z95:AG95">
    <cfRule type="expression" dxfId="27" priority="25">
      <formula>$B95=3</formula>
    </cfRule>
    <cfRule type="expression" dxfId="26" priority="26">
      <formula>$B95=2</formula>
    </cfRule>
    <cfRule type="expression" dxfId="25" priority="27">
      <formula>$B95&lt;2</formula>
    </cfRule>
    <cfRule type="expression" dxfId="24" priority="28">
      <formula>$B95=0</formula>
    </cfRule>
  </conditionalFormatting>
  <conditionalFormatting sqref="C95">
    <cfRule type="expression" dxfId="23" priority="22">
      <formula>$B95=3</formula>
    </cfRule>
    <cfRule type="expression" dxfId="22" priority="23">
      <formula>$B95=2</formula>
    </cfRule>
    <cfRule type="expression" dxfId="21" priority="24">
      <formula>$B95&lt;2</formula>
    </cfRule>
  </conditionalFormatting>
  <conditionalFormatting sqref="F95:I95">
    <cfRule type="expression" dxfId="20" priority="4">
      <formula>$B95=3</formula>
    </cfRule>
    <cfRule type="expression" dxfId="19" priority="5">
      <formula>$B95=2</formula>
    </cfRule>
    <cfRule type="expression" dxfId="18" priority="6">
      <formula>$B95&lt;2</formula>
    </cfRule>
  </conditionalFormatting>
  <conditionalFormatting sqref="K95:M95">
    <cfRule type="expression" dxfId="17" priority="19">
      <formula>$B95=3</formula>
    </cfRule>
    <cfRule type="expression" dxfId="16" priority="20">
      <formula>$B95=2</formula>
    </cfRule>
    <cfRule type="expression" dxfId="15" priority="21">
      <formula>$B95&lt;2</formula>
    </cfRule>
  </conditionalFormatting>
  <conditionalFormatting sqref="K95:M95">
    <cfRule type="expression" dxfId="14" priority="1">
      <formula>$B95=3</formula>
    </cfRule>
    <cfRule type="expression" dxfId="13" priority="2">
      <formula>$B95=2</formula>
    </cfRule>
    <cfRule type="expression" dxfId="12" priority="3">
      <formula>$B95&lt;2</formula>
    </cfRule>
  </conditionalFormatting>
  <conditionalFormatting sqref="Q95:R95">
    <cfRule type="expression" dxfId="11" priority="16">
      <formula>$B95=3</formula>
    </cfRule>
    <cfRule type="expression" dxfId="10" priority="17">
      <formula>$B95=2</formula>
    </cfRule>
    <cfRule type="expression" dxfId="9" priority="18">
      <formula>$B95&lt;2</formula>
    </cfRule>
  </conditionalFormatting>
  <conditionalFormatting sqref="Q95:S95">
    <cfRule type="expression" dxfId="8" priority="7">
      <formula>$B95=3</formula>
    </cfRule>
    <cfRule type="expression" dxfId="7" priority="8">
      <formula>$B95=2</formula>
    </cfRule>
    <cfRule type="expression" dxfId="6" priority="9">
      <formula>$B95&lt;2</formula>
    </cfRule>
  </conditionalFormatting>
  <conditionalFormatting sqref="S95">
    <cfRule type="expression" dxfId="5" priority="13">
      <formula>$B95=3</formula>
    </cfRule>
    <cfRule type="expression" dxfId="4" priority="14">
      <formula>$B95=2</formula>
    </cfRule>
    <cfRule type="expression" dxfId="3" priority="15">
      <formula>$B95&lt;2</formula>
    </cfRule>
  </conditionalFormatting>
  <conditionalFormatting sqref="T95">
    <cfRule type="expression" dxfId="2" priority="10">
      <formula>$B95=3</formula>
    </cfRule>
    <cfRule type="expression" dxfId="1" priority="11">
      <formula>$B95=2</formula>
    </cfRule>
    <cfRule type="expression" dxfId="0" priority="12">
      <formula>$B95&lt;2</formula>
    </cfRule>
  </conditionalFormatting>
  <dataValidations count="14">
    <dataValidation type="whole" allowBlank="1" showInputMessage="1" showErrorMessage="1" sqref="Q174:R181 Q143:Q173 Q2:Q141" xr:uid="{7C199008-9AB6-6549-A861-AD474C13E949}">
      <formula1>1950</formula1>
      <formula2>2025</formula2>
    </dataValidation>
    <dataValidation type="decimal" operator="greaterThan" allowBlank="1" showInputMessage="1" showErrorMessage="1" sqref="K2:K9 K57:K59 K61:K63 K84 J122:J123 J126:J133 K67:K79 N71:N83 K52:K54 K11:K48 N1:N67 K141:K173 K100:K139 J137:J173 N99:N1048576 J2:J119 N85:N97 K89:K98" xr:uid="{66ABF627-CC97-3E44-B6AC-09E441BED0CD}">
      <formula1>0</formula1>
    </dataValidation>
    <dataValidation type="list" allowBlank="1" showInputMessage="1" showErrorMessage="1" sqref="M348:M358" xr:uid="{9E6037A9-5EC7-2945-A2FE-1723BA7DEE83}">
      <formula1>"Land Area, Power MWe, Excavation Volume,  Reactor Building Slab Roof Volume,	Reactor Building  Basement Volume, Reactor Building  Exterior Walls Volume,		Turbine Building Slab Roof Volume,	Turbine Building  Basement Volume,	Turbine Building  Exterior Wall"</formula1>
    </dataValidation>
    <dataValidation type="list" allowBlank="1" showInputMessage="1" showErrorMessage="1" sqref="L1 L174:L1048576" xr:uid="{EEDF1E2A-32DC-6242-8EBD-BD01BBD19C77}">
      <formula1>"$/acres, $/MWe, $/m^3, $/MWt"</formula1>
    </dataValidation>
    <dataValidation type="whole" allowBlank="1" showInputMessage="1" showErrorMessage="1" sqref="P174:P327" xr:uid="{6D536505-A5B6-E145-A4B9-9C3C8E6B8527}">
      <formula1>0</formula1>
      <formula2>2</formula2>
    </dataValidation>
    <dataValidation type="decimal" allowBlank="1" showInputMessage="1" showErrorMessage="1" sqref="P2:P80 P133:P173 P82:P126" xr:uid="{1C0096F5-23AB-5A48-8F14-E27BC72A38A6}">
      <formula1>0</formula1>
      <formula2>2</formula2>
    </dataValidation>
    <dataValidation type="list" allowBlank="1" showInputMessage="1" showErrorMessage="1" sqref="O126 O133:O173 O2:O80 O82:O123" xr:uid="{127B7473-9D01-354E-A3BD-12180E660A5C}">
      <formula1>"acres, MWe, m^3, MWt, Kg, Drums, kW, $, m^2, kg/s"</formula1>
    </dataValidation>
    <dataValidation type="list" allowBlank="1" showInputMessage="1" showErrorMessage="1" sqref="L2:L80 L133:L173 L82:L126" xr:uid="{0FCCEC2F-487A-5A42-9C52-ED538456C753}">
      <formula1>"$/m^2,$/MWeHour,$/FTE, $/acres, $/MWe, $/m^3, $/MWt, $/Kg, $/Drum, $/(kg.sec), $/SWU, unitless, $/kWe"</formula1>
    </dataValidation>
    <dataValidation type="list" allowBlank="1" showInputMessage="1" showErrorMessage="1" sqref="O124:O125" xr:uid="{3DD8CB7E-F66A-4C30-8943-BB08D88ABA07}">
      <formula1>"acres, MWe, m^3, MWt, Kg, Drums, kW, $, m^2, kg/s, kWe"</formula1>
    </dataValidation>
    <dataValidation type="list" allowBlank="1" showInputMessage="1" showErrorMessage="1" sqref="L127:L132 L81" xr:uid="{C16DBC1B-3C9C-41C9-938B-EDB37E52B5AE}">
      <formula1>"$/MWeHour,$/FTE, $/acres, $/MWe, $/m^3, $/MWt, $/Kg, $/Drum, $/(kg.sec), $/SWU, unitless"</formula1>
    </dataValidation>
    <dataValidation type="list" allowBlank="1" showInputMessage="1" showErrorMessage="1" sqref="O127:O132 O81" xr:uid="{D3B885B1-E20F-47DA-80AD-4B608DA1A8DB}">
      <formula1>"acres, MWe, m^3, MWt, Kg, Drums, kW, $"</formula1>
    </dataValidation>
    <dataValidation type="decimal" allowBlank="1" showInputMessage="1" showErrorMessage="1" sqref="P127:P132 P81" xr:uid="{68CE29B1-8A74-4C55-81EE-3E98A1DF9596}">
      <formula1>0</formula1>
      <formula2>1</formula2>
    </dataValidation>
    <dataValidation type="list" allowBlank="1" showInputMessage="1" showErrorMessage="1" sqref="E2:E173" xr:uid="{E571E7A1-C2F9-2E4D-99A9-8FA0C5D45C39}">
      <formula1>"standard, nonstandard"</formula1>
    </dataValidation>
    <dataValidation type="list" allowBlank="1" showInputMessage="1" showErrorMessage="1" sqref="R2:R173" xr:uid="{17DDFD40-D97D-B64B-BD3B-AEAF52F6302C}">
      <formula1>"NA, General, Labor, Material, Equipment,Lab and Mat and Equip, 'Lab and Equip"</formula1>
    </dataValidation>
  </dataValidations>
  <hyperlinks>
    <hyperlink ref="U3" r:id="rId1" xr:uid="{BA0D9C81-F547-414C-A28F-25DA56C7D1AB}"/>
    <hyperlink ref="U49" r:id="rId2" display="https://inldigitallibrary.inl.gov/sites/sti/sti/Sort_129862.pdf_x000a__x000a_" xr:uid="{0C5690C1-ED1C-8647-B6EB-55013768C9A4}"/>
    <hyperlink ref="U100" r:id="rId3" display="https://www.sciencedirect.com/science/article/pii/S1290072903000218" xr:uid="{FB986645-DAA7-E546-AB13-44635CD5B6AC}"/>
    <hyperlink ref="U119" r:id="rId4" xr:uid="{22457633-A12F-48B5-9254-21F42C65D36E}"/>
    <hyperlink ref="U124" r:id="rId5" xr:uid="{9733E874-F01F-4A23-AD17-429EACFE0390}"/>
    <hyperlink ref="U125" r:id="rId6" xr:uid="{9C11E421-3DD6-4772-9616-7E50D5AE12D8}"/>
    <hyperlink ref="U120" r:id="rId7" xr:uid="{393EA17C-0C00-46CE-9606-5006E4E9652C}"/>
    <hyperlink ref="U158" r:id="rId8" xr:uid="{A0190E6E-C474-4BAD-A595-81F9F74A1788}"/>
    <hyperlink ref="U109" r:id="rId9" xr:uid="{76E52516-DD62-4AD6-9177-30451B64B47F}"/>
    <hyperlink ref="U18" r:id="rId10" xr:uid="{700381ED-0C25-4440-BD39-212B0E84976D}"/>
    <hyperlink ref="U19" r:id="rId11" xr:uid="{3FA09676-AFCB-4DB8-9EE2-1F3D4204CD9E}"/>
    <hyperlink ref="U33" r:id="rId12" xr:uid="{959322E4-BC58-4106-B527-FB28EE6F596C}"/>
  </hyperlinks>
  <pageMargins left="0.7" right="0.7" top="0.75" bottom="0.75" header="0.3" footer="0.3"/>
  <pageSetup orientation="portrait" r:id="rId13"/>
  <legacyDrawing r:id="rId1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D81D3-2E1E-EB42-8F84-3B0F01FD7CDC}">
  <dimension ref="A1:E79"/>
  <sheetViews>
    <sheetView zoomScale="183" workbookViewId="0">
      <selection activeCell="A29" sqref="A29"/>
    </sheetView>
  </sheetViews>
  <sheetFormatPr defaultColWidth="11.44140625" defaultRowHeight="14.4"/>
  <cols>
    <col min="1" max="1" width="11.6640625" style="32" customWidth="1"/>
    <col min="2" max="2" width="35.6640625" style="17" customWidth="1"/>
    <col min="3" max="3" width="20.6640625" style="18" customWidth="1"/>
    <col min="5" max="5" width="12.6640625" bestFit="1" customWidth="1"/>
  </cols>
  <sheetData>
    <row r="1" spans="1:5" ht="15" customHeight="1">
      <c r="A1" s="114" t="s">
        <v>189</v>
      </c>
      <c r="B1" s="115" t="s">
        <v>1</v>
      </c>
      <c r="C1" s="116" t="s">
        <v>318</v>
      </c>
    </row>
    <row r="2" spans="1:5">
      <c r="A2" s="114"/>
      <c r="B2" s="115"/>
      <c r="C2" s="117"/>
    </row>
    <row r="3" spans="1:5">
      <c r="A3" s="30">
        <v>10</v>
      </c>
      <c r="B3" s="14" t="s">
        <v>2</v>
      </c>
      <c r="C3" s="15">
        <f>C4</f>
        <v>5210451</v>
      </c>
    </row>
    <row r="4" spans="1:5">
      <c r="A4" s="31">
        <v>15</v>
      </c>
      <c r="B4" s="12" t="s">
        <v>5</v>
      </c>
      <c r="C4" s="13">
        <v>5210451</v>
      </c>
      <c r="E4" s="13"/>
    </row>
    <row r="5" spans="1:5">
      <c r="A5" s="30">
        <v>20</v>
      </c>
      <c r="B5" s="14" t="s">
        <v>6</v>
      </c>
      <c r="C5" s="15">
        <f>C6+C13+C45+C48+C52+C54</f>
        <v>30295715.421999998</v>
      </c>
    </row>
    <row r="6" spans="1:5">
      <c r="A6" s="31">
        <v>21</v>
      </c>
      <c r="B6" s="12" t="s">
        <v>7</v>
      </c>
      <c r="C6" s="13">
        <f>C7+C8+C9+C10</f>
        <v>2799006.7319999975</v>
      </c>
    </row>
    <row r="7" spans="1:5">
      <c r="A7" s="31">
        <v>211</v>
      </c>
      <c r="B7" s="12" t="s">
        <v>191</v>
      </c>
      <c r="C7" s="13"/>
    </row>
    <row r="8" spans="1:5">
      <c r="A8" s="31">
        <v>212</v>
      </c>
      <c r="B8" s="12" t="s">
        <v>8</v>
      </c>
      <c r="C8" s="13">
        <v>2573469.8719999976</v>
      </c>
    </row>
    <row r="9" spans="1:5">
      <c r="A9" s="31">
        <v>213</v>
      </c>
      <c r="B9" s="12" t="s">
        <v>122</v>
      </c>
      <c r="C9" s="13"/>
    </row>
    <row r="10" spans="1:5">
      <c r="A10" s="31">
        <v>214</v>
      </c>
      <c r="B10" s="12" t="s">
        <v>9</v>
      </c>
      <c r="C10" s="13">
        <f>SUM(C11:C11)</f>
        <v>225536.86</v>
      </c>
    </row>
    <row r="11" spans="1:5">
      <c r="A11" s="31">
        <v>214.7</v>
      </c>
      <c r="B11" s="12" t="s">
        <v>192</v>
      </c>
      <c r="C11" s="13">
        <v>225536.86</v>
      </c>
      <c r="E11" s="34"/>
    </row>
    <row r="12" spans="1:5">
      <c r="A12" s="31">
        <v>217</v>
      </c>
      <c r="B12" s="12" t="s">
        <v>193</v>
      </c>
      <c r="C12" s="13"/>
    </row>
    <row r="13" spans="1:5">
      <c r="A13" s="31">
        <v>22</v>
      </c>
      <c r="B13" s="12" t="s">
        <v>10</v>
      </c>
      <c r="C13" s="13">
        <f>C14+C32+C41+C42+C43+C44</f>
        <v>17586712.57</v>
      </c>
    </row>
    <row r="14" spans="1:5">
      <c r="A14" s="31">
        <v>221</v>
      </c>
      <c r="B14" s="12" t="s">
        <v>11</v>
      </c>
      <c r="C14" s="13">
        <f>C15+C19+C25</f>
        <v>8937296.5999999996</v>
      </c>
    </row>
    <row r="15" spans="1:5">
      <c r="A15" s="31">
        <v>221.1</v>
      </c>
      <c r="B15" s="12" t="s">
        <v>188</v>
      </c>
      <c r="C15" s="13">
        <f>C16+C17+C18</f>
        <v>2004852</v>
      </c>
    </row>
    <row r="16" spans="1:5">
      <c r="A16" s="31">
        <v>221.11</v>
      </c>
      <c r="B16" s="12" t="s">
        <v>187</v>
      </c>
      <c r="C16" s="13">
        <v>762382.4</v>
      </c>
    </row>
    <row r="17" spans="1:4">
      <c r="A17" s="31">
        <v>221.12</v>
      </c>
      <c r="B17" s="16" t="s">
        <v>194</v>
      </c>
      <c r="C17" s="13">
        <v>1201688.6000000001</v>
      </c>
    </row>
    <row r="18" spans="1:4">
      <c r="A18" s="31">
        <v>221.13</v>
      </c>
      <c r="B18" s="16" t="s">
        <v>195</v>
      </c>
      <c r="C18" s="13">
        <v>40781</v>
      </c>
    </row>
    <row r="19" spans="1:4">
      <c r="A19" s="31">
        <v>221.2</v>
      </c>
      <c r="B19" s="16" t="s">
        <v>196</v>
      </c>
      <c r="C19" s="13">
        <f>C20</f>
        <v>2114223</v>
      </c>
    </row>
    <row r="20" spans="1:4" ht="15" thickBot="1">
      <c r="A20" s="31">
        <v>221.21</v>
      </c>
      <c r="B20" s="16" t="s">
        <v>197</v>
      </c>
      <c r="C20" s="13">
        <f>SUM(C21:C23)</f>
        <v>2114223</v>
      </c>
    </row>
    <row r="21" spans="1:4" ht="15" thickBot="1">
      <c r="A21" s="10">
        <v>221.21100000000001</v>
      </c>
      <c r="B21" s="11" t="s">
        <v>12</v>
      </c>
      <c r="C21" s="13">
        <v>1391560</v>
      </c>
      <c r="D21" s="8"/>
    </row>
    <row r="22" spans="1:4" ht="15" thickBot="1">
      <c r="A22" s="10">
        <v>221.21199999999999</v>
      </c>
      <c r="B22" s="11" t="s">
        <v>133</v>
      </c>
      <c r="C22" s="13">
        <v>322663</v>
      </c>
    </row>
    <row r="23" spans="1:4" ht="15" thickBot="1">
      <c r="A23" s="10">
        <v>221.21299999999999</v>
      </c>
      <c r="B23" s="11" t="s">
        <v>181</v>
      </c>
      <c r="C23" s="13">
        <v>400000</v>
      </c>
    </row>
    <row r="24" spans="1:4" ht="15" thickBot="1">
      <c r="A24" s="10">
        <v>221.214</v>
      </c>
      <c r="B24" s="11" t="s">
        <v>182</v>
      </c>
    </row>
    <row r="25" spans="1:4">
      <c r="A25" s="31">
        <v>221.3</v>
      </c>
      <c r="B25" s="16" t="s">
        <v>198</v>
      </c>
      <c r="C25" s="13">
        <f>C26+C30+C31</f>
        <v>4818221.5999999996</v>
      </c>
    </row>
    <row r="26" spans="1:4">
      <c r="A26" s="31">
        <v>221.31</v>
      </c>
      <c r="B26" s="16" t="s">
        <v>13</v>
      </c>
      <c r="C26" s="13">
        <v>4170231</v>
      </c>
    </row>
    <row r="27" spans="1:4">
      <c r="A27" s="33">
        <v>221.31100000000001</v>
      </c>
      <c r="B27" s="16" t="s">
        <v>322</v>
      </c>
      <c r="C27" s="13">
        <v>3200000</v>
      </c>
    </row>
    <row r="28" spans="1:4">
      <c r="A28" s="33">
        <v>221.31200000000001</v>
      </c>
      <c r="B28" s="16" t="s">
        <v>324</v>
      </c>
      <c r="C28" s="13">
        <v>850000</v>
      </c>
    </row>
    <row r="29" spans="1:4">
      <c r="A29" s="33">
        <v>221.31299999999999</v>
      </c>
      <c r="B29" s="16" t="s">
        <v>323</v>
      </c>
      <c r="C29" s="13">
        <v>120231</v>
      </c>
    </row>
    <row r="30" spans="1:4">
      <c r="A30" s="31">
        <v>221.32</v>
      </c>
      <c r="B30" s="16" t="s">
        <v>14</v>
      </c>
      <c r="C30" s="13">
        <v>647990.6</v>
      </c>
    </row>
    <row r="31" spans="1:4">
      <c r="A31" s="31">
        <v>221.33</v>
      </c>
      <c r="B31" s="16" t="s">
        <v>199</v>
      </c>
      <c r="C31" s="13">
        <v>0</v>
      </c>
    </row>
    <row r="32" spans="1:4">
      <c r="A32" s="31" t="s">
        <v>200</v>
      </c>
      <c r="B32" s="12" t="s">
        <v>15</v>
      </c>
      <c r="C32" s="13">
        <f>C33+C34+C38+C39+C40</f>
        <v>5908950.5999999996</v>
      </c>
    </row>
    <row r="33" spans="1:3">
      <c r="A33" s="31">
        <v>222.1</v>
      </c>
      <c r="B33" s="12" t="s">
        <v>201</v>
      </c>
      <c r="C33" s="13">
        <v>0</v>
      </c>
    </row>
    <row r="34" spans="1:3">
      <c r="A34" s="31">
        <v>222.2</v>
      </c>
      <c r="B34" s="12" t="s">
        <v>202</v>
      </c>
      <c r="C34" s="13">
        <v>4890230.5999999996</v>
      </c>
    </row>
    <row r="35" spans="1:3" ht="28.8">
      <c r="A35" s="31">
        <v>222.21</v>
      </c>
      <c r="B35" s="12" t="s">
        <v>319</v>
      </c>
      <c r="C35" s="13">
        <v>1520786</v>
      </c>
    </row>
    <row r="36" spans="1:3" ht="28.8">
      <c r="A36" s="31">
        <v>222.22</v>
      </c>
      <c r="B36" s="12" t="s">
        <v>320</v>
      </c>
      <c r="C36" s="13">
        <v>3341486</v>
      </c>
    </row>
    <row r="37" spans="1:3" ht="28.8">
      <c r="A37" s="31">
        <v>222.23</v>
      </c>
      <c r="B37" s="12" t="s">
        <v>321</v>
      </c>
      <c r="C37" s="13">
        <v>27958.6</v>
      </c>
    </row>
    <row r="38" spans="1:3">
      <c r="A38" s="31">
        <v>222.3</v>
      </c>
      <c r="B38" s="12" t="s">
        <v>17</v>
      </c>
      <c r="C38" s="13">
        <v>0</v>
      </c>
    </row>
    <row r="39" spans="1:3">
      <c r="A39" s="31">
        <v>222.4</v>
      </c>
      <c r="B39" s="12" t="s">
        <v>203</v>
      </c>
      <c r="C39" s="13">
        <v>0</v>
      </c>
    </row>
    <row r="40" spans="1:3">
      <c r="A40" s="31">
        <v>222.5</v>
      </c>
      <c r="B40" s="12" t="s">
        <v>204</v>
      </c>
      <c r="C40" s="13">
        <v>1018720</v>
      </c>
    </row>
    <row r="41" spans="1:3" ht="28.8">
      <c r="A41" s="31" t="s">
        <v>205</v>
      </c>
      <c r="B41" s="12" t="s">
        <v>206</v>
      </c>
      <c r="C41" s="13"/>
    </row>
    <row r="42" spans="1:3">
      <c r="A42" s="31" t="s">
        <v>207</v>
      </c>
      <c r="B42" s="12" t="s">
        <v>208</v>
      </c>
      <c r="C42" s="13">
        <v>456297</v>
      </c>
    </row>
    <row r="43" spans="1:3" ht="28.8">
      <c r="A43" s="31" t="s">
        <v>209</v>
      </c>
      <c r="B43" s="12" t="s">
        <v>20</v>
      </c>
      <c r="C43" s="13">
        <v>2253208.37</v>
      </c>
    </row>
    <row r="44" spans="1:3">
      <c r="A44" s="31" t="s">
        <v>210</v>
      </c>
      <c r="B44" s="12" t="s">
        <v>211</v>
      </c>
      <c r="C44" s="13">
        <v>30960</v>
      </c>
    </row>
    <row r="45" spans="1:3">
      <c r="A45" s="31">
        <v>23</v>
      </c>
      <c r="B45" s="12" t="s">
        <v>212</v>
      </c>
      <c r="C45" s="13">
        <f>C46</f>
        <v>0</v>
      </c>
    </row>
    <row r="46" spans="1:3">
      <c r="A46" s="31">
        <v>232</v>
      </c>
      <c r="B46" s="12" t="s">
        <v>22</v>
      </c>
      <c r="C46" s="13">
        <f>C47</f>
        <v>0</v>
      </c>
    </row>
    <row r="47" spans="1:3">
      <c r="A47" s="31">
        <v>232.1</v>
      </c>
      <c r="B47" s="12" t="s">
        <v>213</v>
      </c>
      <c r="C47" s="13">
        <v>0</v>
      </c>
    </row>
    <row r="48" spans="1:3">
      <c r="A48" s="31">
        <v>24</v>
      </c>
      <c r="B48" s="12" t="s">
        <v>23</v>
      </c>
      <c r="C48" s="13">
        <f>C49+C50+C51</f>
        <v>73415.62000000001</v>
      </c>
    </row>
    <row r="49" spans="1:3">
      <c r="A49" s="31" t="s">
        <v>214</v>
      </c>
      <c r="B49" s="12" t="s">
        <v>215</v>
      </c>
      <c r="C49" s="13">
        <v>1627.02</v>
      </c>
    </row>
    <row r="50" spans="1:3">
      <c r="A50" s="31" t="s">
        <v>216</v>
      </c>
      <c r="B50" s="12" t="s">
        <v>217</v>
      </c>
      <c r="C50" s="13">
        <v>0</v>
      </c>
    </row>
    <row r="51" spans="1:3">
      <c r="A51" s="31" t="s">
        <v>218</v>
      </c>
      <c r="B51" s="12" t="s">
        <v>219</v>
      </c>
      <c r="C51" s="13">
        <v>71788.600000000006</v>
      </c>
    </row>
    <row r="52" spans="1:3">
      <c r="A52" s="31">
        <v>25</v>
      </c>
      <c r="B52" s="12" t="s">
        <v>24</v>
      </c>
      <c r="C52" s="13">
        <f>C53</f>
        <v>9836580.5</v>
      </c>
    </row>
    <row r="53" spans="1:3">
      <c r="A53" s="31" t="s">
        <v>220</v>
      </c>
      <c r="B53" s="12" t="s">
        <v>28</v>
      </c>
      <c r="C53" s="13">
        <v>9836580.5</v>
      </c>
    </row>
    <row r="54" spans="1:3">
      <c r="A54" s="31">
        <v>26</v>
      </c>
      <c r="B54" s="12" t="s">
        <v>221</v>
      </c>
      <c r="C54" s="13"/>
    </row>
    <row r="55" spans="1:3">
      <c r="A55" s="30">
        <v>30</v>
      </c>
      <c r="B55" s="14" t="s">
        <v>29</v>
      </c>
      <c r="C55" s="15">
        <f>C56+C58+C62+C65+C68</f>
        <v>6442742.523737831</v>
      </c>
    </row>
    <row r="56" spans="1:3">
      <c r="A56" s="31">
        <v>31</v>
      </c>
      <c r="B56" s="12" t="s">
        <v>30</v>
      </c>
      <c r="C56" s="13">
        <f>C57</f>
        <v>1333020.8</v>
      </c>
    </row>
    <row r="57" spans="1:3">
      <c r="A57" s="31">
        <v>317</v>
      </c>
      <c r="B57" s="12" t="s">
        <v>222</v>
      </c>
      <c r="C57" s="13">
        <v>1333020.8</v>
      </c>
    </row>
    <row r="58" spans="1:3">
      <c r="A58" s="31">
        <v>33</v>
      </c>
      <c r="B58" s="12" t="s">
        <v>31</v>
      </c>
      <c r="C58" s="13">
        <f>C59</f>
        <v>2407166.4000000004</v>
      </c>
    </row>
    <row r="59" spans="1:3">
      <c r="A59" s="31">
        <v>331</v>
      </c>
      <c r="B59" s="12" t="s">
        <v>223</v>
      </c>
      <c r="C59" s="13">
        <f>C60+C61</f>
        <v>2407166.4000000004</v>
      </c>
    </row>
    <row r="60" spans="1:3">
      <c r="A60" s="31">
        <v>331.3</v>
      </c>
      <c r="B60" s="12" t="s">
        <v>224</v>
      </c>
      <c r="C60" s="13">
        <v>215000</v>
      </c>
    </row>
    <row r="61" spans="1:3">
      <c r="A61" s="31">
        <v>331.5</v>
      </c>
      <c r="B61" s="12" t="s">
        <v>225</v>
      </c>
      <c r="C61" s="13">
        <v>2192166.4000000004</v>
      </c>
    </row>
    <row r="62" spans="1:3">
      <c r="A62" s="31">
        <v>34</v>
      </c>
      <c r="B62" s="12" t="s">
        <v>32</v>
      </c>
      <c r="C62" s="13">
        <f>C63+C64</f>
        <v>1665282.7999999998</v>
      </c>
    </row>
    <row r="63" spans="1:3">
      <c r="A63" s="31">
        <v>341</v>
      </c>
      <c r="B63" s="12" t="s">
        <v>226</v>
      </c>
      <c r="C63" s="13">
        <v>1635355.7999999998</v>
      </c>
    </row>
    <row r="64" spans="1:3">
      <c r="A64" s="31">
        <v>345</v>
      </c>
      <c r="B64" s="12" t="s">
        <v>227</v>
      </c>
      <c r="C64" s="13">
        <v>29927</v>
      </c>
    </row>
    <row r="65" spans="1:3">
      <c r="A65" s="31">
        <v>35</v>
      </c>
      <c r="B65" s="12" t="s">
        <v>33</v>
      </c>
      <c r="C65" s="13">
        <f>C66+C67</f>
        <v>620313.58773783164</v>
      </c>
    </row>
    <row r="66" spans="1:3">
      <c r="A66" s="31">
        <v>351</v>
      </c>
      <c r="B66" s="12" t="s">
        <v>228</v>
      </c>
      <c r="C66" s="13">
        <v>257261.4</v>
      </c>
    </row>
    <row r="67" spans="1:3">
      <c r="A67" s="31">
        <v>352</v>
      </c>
      <c r="B67" s="12" t="s">
        <v>229</v>
      </c>
      <c r="C67" s="13">
        <v>363052.18773783161</v>
      </c>
    </row>
    <row r="68" spans="1:3">
      <c r="A68" s="31">
        <v>36</v>
      </c>
      <c r="B68" s="12" t="s">
        <v>230</v>
      </c>
      <c r="C68" s="13">
        <f>C69+C70</f>
        <v>416958.9359999997</v>
      </c>
    </row>
    <row r="69" spans="1:3">
      <c r="A69" s="31">
        <v>361</v>
      </c>
      <c r="B69" s="12" t="s">
        <v>228</v>
      </c>
      <c r="C69" s="13"/>
    </row>
    <row r="70" spans="1:3">
      <c r="A70" s="31">
        <v>362</v>
      </c>
      <c r="B70" s="12" t="s">
        <v>229</v>
      </c>
      <c r="C70" s="13">
        <v>416958.9359999997</v>
      </c>
    </row>
    <row r="71" spans="1:3">
      <c r="A71" s="30">
        <v>40</v>
      </c>
      <c r="B71" s="14" t="s">
        <v>231</v>
      </c>
      <c r="C71" s="15">
        <f>C72</f>
        <v>4169765</v>
      </c>
    </row>
    <row r="72" spans="1:3">
      <c r="A72" s="31">
        <v>41</v>
      </c>
      <c r="B72" s="12" t="s">
        <v>232</v>
      </c>
      <c r="C72" s="13">
        <v>4169765</v>
      </c>
    </row>
    <row r="73" spans="1:3">
      <c r="A73" s="30">
        <v>50</v>
      </c>
      <c r="B73" s="14" t="s">
        <v>233</v>
      </c>
      <c r="C73" s="15">
        <f>C74</f>
        <v>16408781.6</v>
      </c>
    </row>
    <row r="74" spans="1:3">
      <c r="A74" s="31">
        <v>54</v>
      </c>
      <c r="B74" s="12" t="s">
        <v>234</v>
      </c>
      <c r="C74" s="13">
        <v>16408781.6</v>
      </c>
    </row>
    <row r="75" spans="1:3">
      <c r="A75" s="30">
        <v>60</v>
      </c>
      <c r="B75" s="14" t="s">
        <v>34</v>
      </c>
      <c r="C75" s="15">
        <f>C76</f>
        <v>6160606</v>
      </c>
    </row>
    <row r="76" spans="1:3">
      <c r="A76" s="31">
        <v>61</v>
      </c>
      <c r="B76" s="12" t="s">
        <v>235</v>
      </c>
      <c r="C76" s="13">
        <v>6160606</v>
      </c>
    </row>
    <row r="77" spans="1:3">
      <c r="A77" s="31">
        <v>70</v>
      </c>
      <c r="B77" s="12" t="s">
        <v>36</v>
      </c>
      <c r="C77" s="13">
        <f>C78</f>
        <v>2456659.1999999997</v>
      </c>
    </row>
    <row r="78" spans="1:3">
      <c r="A78" s="31">
        <v>71</v>
      </c>
      <c r="B78" s="12" t="s">
        <v>37</v>
      </c>
      <c r="C78" s="13">
        <v>2456659.1999999997</v>
      </c>
    </row>
    <row r="79" spans="1:3" ht="43.2">
      <c r="A79" s="16" t="s">
        <v>236</v>
      </c>
      <c r="B79" s="12" t="s">
        <v>236</v>
      </c>
      <c r="C79" s="13">
        <v>33779050.138262168</v>
      </c>
    </row>
  </sheetData>
  <mergeCells count="3">
    <mergeCell ref="A1:A2"/>
    <mergeCell ref="B1:B2"/>
    <mergeCell ref="C1:C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61CB3-2453-134C-AA44-11C159237351}">
  <sheetPr>
    <tabColor rgb="FFFFFF00"/>
  </sheetPr>
  <dimension ref="A1:D52"/>
  <sheetViews>
    <sheetView topLeftCell="A13" zoomScale="225" workbookViewId="0">
      <selection activeCell="B5" sqref="B5"/>
    </sheetView>
  </sheetViews>
  <sheetFormatPr defaultColWidth="10.6640625" defaultRowHeight="13.2"/>
  <cols>
    <col min="1" max="1" width="19" style="21" customWidth="1"/>
    <col min="2" max="2" width="16.44140625" style="21" customWidth="1"/>
    <col min="3" max="3" width="22.44140625" style="21" customWidth="1"/>
    <col min="4" max="4" width="32.44140625" style="21" customWidth="1"/>
    <col min="5" max="16384" width="10.6640625" style="21"/>
  </cols>
  <sheetData>
    <row r="1" spans="1:4" ht="16.2" thickBot="1">
      <c r="A1" s="19" t="s">
        <v>237</v>
      </c>
      <c r="B1" s="20" t="s">
        <v>238</v>
      </c>
      <c r="C1" s="20" t="s">
        <v>66</v>
      </c>
      <c r="D1" s="20" t="s">
        <v>239</v>
      </c>
    </row>
    <row r="2" spans="1:4" ht="13.8" thickBot="1">
      <c r="A2" s="118" t="s">
        <v>240</v>
      </c>
      <c r="B2" s="119"/>
      <c r="C2" s="119"/>
      <c r="D2" s="120"/>
    </row>
    <row r="3" spans="1:4" ht="13.8" thickBot="1">
      <c r="A3" s="22" t="s">
        <v>241</v>
      </c>
      <c r="B3" s="7">
        <v>83</v>
      </c>
      <c r="C3" s="23" t="s">
        <v>242</v>
      </c>
      <c r="D3" s="23" t="s">
        <v>243</v>
      </c>
    </row>
    <row r="4" spans="1:4" ht="13.8" thickBot="1">
      <c r="A4" s="22" t="s">
        <v>244</v>
      </c>
      <c r="B4" s="7">
        <v>20</v>
      </c>
      <c r="C4" s="23" t="s">
        <v>245</v>
      </c>
      <c r="D4" s="23"/>
    </row>
    <row r="5" spans="1:4" ht="13.8" thickBot="1">
      <c r="A5" s="22" t="s">
        <v>246</v>
      </c>
      <c r="B5" s="7">
        <v>5.5</v>
      </c>
      <c r="C5" s="23" t="s">
        <v>247</v>
      </c>
      <c r="D5" s="23" t="s">
        <v>243</v>
      </c>
    </row>
    <row r="6" spans="1:4" ht="13.8" thickBot="1">
      <c r="A6" s="22" t="s">
        <v>248</v>
      </c>
      <c r="B6" s="7">
        <v>16.5</v>
      </c>
      <c r="C6" s="23" t="s">
        <v>247</v>
      </c>
      <c r="D6" s="23" t="s">
        <v>243</v>
      </c>
    </row>
    <row r="7" spans="1:4" ht="13.8" thickBot="1">
      <c r="A7" s="118" t="s">
        <v>249</v>
      </c>
      <c r="B7" s="119"/>
      <c r="C7" s="119"/>
      <c r="D7" s="120"/>
    </row>
    <row r="8" spans="1:4" ht="13.8" thickBot="1">
      <c r="A8" s="22" t="s">
        <v>250</v>
      </c>
      <c r="B8" s="7">
        <v>145.30000000000001</v>
      </c>
      <c r="C8" s="23" t="s">
        <v>251</v>
      </c>
      <c r="D8" s="23" t="s">
        <v>252</v>
      </c>
    </row>
    <row r="9" spans="1:4" ht="13.8" thickBot="1">
      <c r="A9" s="22" t="s">
        <v>253</v>
      </c>
      <c r="B9" s="7">
        <v>30</v>
      </c>
      <c r="C9" s="23" t="s">
        <v>254</v>
      </c>
      <c r="D9" s="23" t="s">
        <v>255</v>
      </c>
    </row>
    <row r="10" spans="1:4" ht="13.8" thickBot="1">
      <c r="A10" s="22" t="s">
        <v>256</v>
      </c>
      <c r="B10" s="7">
        <v>19.75</v>
      </c>
      <c r="C10" s="23" t="s">
        <v>254</v>
      </c>
      <c r="D10" s="23" t="s">
        <v>257</v>
      </c>
    </row>
    <row r="11" spans="1:4" ht="13.8" thickBot="1">
      <c r="A11" s="22" t="s">
        <v>258</v>
      </c>
      <c r="B11" s="7">
        <v>36</v>
      </c>
      <c r="C11" s="23" t="s">
        <v>259</v>
      </c>
      <c r="D11" s="23" t="s">
        <v>243</v>
      </c>
    </row>
    <row r="12" spans="1:4" ht="13.8" thickBot="1">
      <c r="A12" s="118" t="s">
        <v>13</v>
      </c>
      <c r="B12" s="119"/>
      <c r="C12" s="119"/>
      <c r="D12" s="120"/>
    </row>
    <row r="13" spans="1:4" ht="13.8" thickBot="1">
      <c r="A13" s="22" t="s">
        <v>260</v>
      </c>
      <c r="B13" s="7" t="s">
        <v>261</v>
      </c>
      <c r="C13" s="23" t="s">
        <v>243</v>
      </c>
      <c r="D13" s="23" t="s">
        <v>262</v>
      </c>
    </row>
    <row r="14" spans="1:4" ht="13.8" thickBot="1">
      <c r="A14" s="22" t="s">
        <v>263</v>
      </c>
      <c r="B14" s="7">
        <v>124</v>
      </c>
      <c r="C14" s="23" t="s">
        <v>259</v>
      </c>
      <c r="D14" s="23" t="s">
        <v>264</v>
      </c>
    </row>
    <row r="15" spans="1:4" ht="13.8" thickBot="1">
      <c r="A15" s="22" t="s">
        <v>265</v>
      </c>
      <c r="B15" s="7">
        <v>1</v>
      </c>
      <c r="C15" s="23" t="s">
        <v>247</v>
      </c>
      <c r="D15" s="23" t="s">
        <v>243</v>
      </c>
    </row>
    <row r="16" spans="1:4" ht="16.2" thickBot="1">
      <c r="A16" s="22" t="s">
        <v>266</v>
      </c>
      <c r="B16" s="7">
        <v>818.4</v>
      </c>
      <c r="C16" s="23" t="s">
        <v>267</v>
      </c>
      <c r="D16" s="23" t="s">
        <v>243</v>
      </c>
    </row>
    <row r="17" spans="1:4" ht="13.8" thickBot="1">
      <c r="A17" s="22" t="s">
        <v>268</v>
      </c>
      <c r="B17" s="7">
        <v>318</v>
      </c>
      <c r="C17" s="23" t="s">
        <v>173</v>
      </c>
      <c r="D17" s="23"/>
    </row>
    <row r="18" spans="1:4" ht="16.2" thickBot="1">
      <c r="A18" s="22" t="s">
        <v>269</v>
      </c>
      <c r="B18" s="7">
        <v>570</v>
      </c>
      <c r="C18" s="23" t="s">
        <v>267</v>
      </c>
      <c r="D18" s="23" t="s">
        <v>243</v>
      </c>
    </row>
    <row r="19" spans="1:4" ht="13.8" thickBot="1">
      <c r="A19" s="22" t="s">
        <v>270</v>
      </c>
      <c r="B19" s="7">
        <v>1.9E-2</v>
      </c>
      <c r="C19" s="23" t="s">
        <v>271</v>
      </c>
      <c r="D19" s="23" t="s">
        <v>243</v>
      </c>
    </row>
    <row r="20" spans="1:4" ht="13.8" thickBot="1">
      <c r="A20" s="118" t="s">
        <v>272</v>
      </c>
      <c r="B20" s="119"/>
      <c r="C20" s="119"/>
      <c r="D20" s="120"/>
    </row>
    <row r="21" spans="1:4" ht="13.8" thickBot="1">
      <c r="A21" s="22" t="s">
        <v>273</v>
      </c>
      <c r="B21" s="7">
        <v>4</v>
      </c>
      <c r="C21" s="23" t="s">
        <v>259</v>
      </c>
      <c r="D21" s="23" t="s">
        <v>243</v>
      </c>
    </row>
    <row r="22" spans="1:4" ht="13.8" thickBot="1">
      <c r="A22" s="22" t="s">
        <v>274</v>
      </c>
      <c r="B22" s="7">
        <v>1</v>
      </c>
      <c r="C22" s="23" t="s">
        <v>259</v>
      </c>
      <c r="D22" s="23" t="s">
        <v>243</v>
      </c>
    </row>
    <row r="23" spans="1:4" ht="13.8" thickBot="1">
      <c r="A23" s="22" t="s">
        <v>275</v>
      </c>
      <c r="B23" s="7">
        <v>124</v>
      </c>
      <c r="C23" s="23" t="s">
        <v>259</v>
      </c>
      <c r="D23" s="23" t="s">
        <v>276</v>
      </c>
    </row>
    <row r="24" spans="1:4" ht="13.8" thickBot="1">
      <c r="A24" s="22" t="s">
        <v>277</v>
      </c>
      <c r="B24" s="7">
        <v>1</v>
      </c>
      <c r="C24" s="23" t="s">
        <v>247</v>
      </c>
      <c r="D24" s="23" t="s">
        <v>243</v>
      </c>
    </row>
    <row r="25" spans="1:4" ht="16.2" thickBot="1">
      <c r="A25" s="22" t="s">
        <v>278</v>
      </c>
      <c r="B25" s="7">
        <v>880.8</v>
      </c>
      <c r="C25" s="23" t="s">
        <v>267</v>
      </c>
      <c r="D25" s="23" t="s">
        <v>279</v>
      </c>
    </row>
    <row r="26" spans="1:4" ht="13.8" thickBot="1">
      <c r="A26" s="22" t="s">
        <v>280</v>
      </c>
      <c r="B26" s="7">
        <v>309</v>
      </c>
      <c r="C26" s="23" t="s">
        <v>173</v>
      </c>
      <c r="D26" s="23" t="s">
        <v>243</v>
      </c>
    </row>
    <row r="27" spans="1:4" ht="16.2" thickBot="1">
      <c r="A27" s="22" t="s">
        <v>281</v>
      </c>
      <c r="B27" s="7">
        <v>49.2</v>
      </c>
      <c r="C27" s="23" t="s">
        <v>267</v>
      </c>
      <c r="D27" s="23" t="s">
        <v>282</v>
      </c>
    </row>
    <row r="28" spans="1:4" ht="13.8" thickBot="1">
      <c r="A28" s="22" t="s">
        <v>283</v>
      </c>
      <c r="B28" s="7">
        <v>14</v>
      </c>
      <c r="C28" s="23" t="s">
        <v>173</v>
      </c>
      <c r="D28" s="23" t="s">
        <v>243</v>
      </c>
    </row>
    <row r="29" spans="1:4" ht="16.2" thickBot="1">
      <c r="A29" s="22" t="s">
        <v>284</v>
      </c>
      <c r="B29" s="7">
        <v>14</v>
      </c>
      <c r="C29" s="23" t="s">
        <v>173</v>
      </c>
      <c r="D29" s="23" t="s">
        <v>282</v>
      </c>
    </row>
    <row r="30" spans="1:4" ht="13.8" thickBot="1">
      <c r="A30" s="118" t="s">
        <v>285</v>
      </c>
      <c r="B30" s="119"/>
      <c r="C30" s="119"/>
      <c r="D30" s="120"/>
    </row>
    <row r="31" spans="1:4" ht="13.8" thickBot="1">
      <c r="A31" s="22" t="s">
        <v>286</v>
      </c>
      <c r="B31" s="7">
        <v>5</v>
      </c>
      <c r="C31" s="24"/>
      <c r="D31" s="23" t="s">
        <v>243</v>
      </c>
    </row>
    <row r="32" spans="1:4" ht="13.8" thickBot="1">
      <c r="A32" s="22" t="s">
        <v>287</v>
      </c>
      <c r="B32" s="7">
        <v>2</v>
      </c>
      <c r="C32" s="24"/>
      <c r="D32" s="23" t="s">
        <v>243</v>
      </c>
    </row>
    <row r="33" spans="1:4" ht="13.8" thickBot="1">
      <c r="A33" s="22" t="s">
        <v>288</v>
      </c>
      <c r="B33" s="7">
        <v>9</v>
      </c>
      <c r="C33" s="24"/>
      <c r="D33" s="23" t="s">
        <v>243</v>
      </c>
    </row>
    <row r="34" spans="1:4" ht="13.8" thickBot="1">
      <c r="A34" s="22" t="s">
        <v>289</v>
      </c>
      <c r="B34" s="7">
        <v>213</v>
      </c>
      <c r="C34" s="24"/>
      <c r="D34" s="23" t="s">
        <v>243</v>
      </c>
    </row>
    <row r="35" spans="1:4" s="29" customFormat="1" ht="27" thickBot="1">
      <c r="A35" s="25" t="s">
        <v>290</v>
      </c>
      <c r="B35" s="26">
        <v>48</v>
      </c>
      <c r="C35" s="27" t="s">
        <v>243</v>
      </c>
      <c r="D35" s="28" t="s">
        <v>291</v>
      </c>
    </row>
    <row r="36" spans="1:4" s="29" customFormat="1" ht="13.8" thickBot="1">
      <c r="A36" s="25" t="s">
        <v>190</v>
      </c>
      <c r="B36" s="26">
        <v>277</v>
      </c>
      <c r="C36" s="27"/>
      <c r="D36" s="28"/>
    </row>
    <row r="37" spans="1:4" ht="13.8" thickBot="1">
      <c r="A37" s="118" t="s">
        <v>292</v>
      </c>
      <c r="B37" s="119"/>
      <c r="C37" s="119"/>
      <c r="D37" s="120"/>
    </row>
    <row r="38" spans="1:4" ht="13.8" thickBot="1">
      <c r="A38" s="22" t="s">
        <v>293</v>
      </c>
      <c r="B38" s="7">
        <v>54.2</v>
      </c>
      <c r="C38" s="23" t="s">
        <v>173</v>
      </c>
      <c r="D38" s="23" t="s">
        <v>294</v>
      </c>
    </row>
    <row r="39" spans="1:4" ht="13.8" thickBot="1">
      <c r="A39" s="22" t="s">
        <v>295</v>
      </c>
      <c r="B39" s="7">
        <v>56.3</v>
      </c>
      <c r="C39" s="23" t="s">
        <v>173</v>
      </c>
      <c r="D39" s="23" t="s">
        <v>296</v>
      </c>
    </row>
    <row r="40" spans="1:4" ht="13.8" thickBot="1">
      <c r="A40" s="22" t="s">
        <v>297</v>
      </c>
      <c r="B40" s="7">
        <v>39.700000000000003</v>
      </c>
      <c r="C40" s="23" t="s">
        <v>173</v>
      </c>
      <c r="D40" s="23" t="s">
        <v>298</v>
      </c>
    </row>
    <row r="41" spans="1:4" ht="13.8" thickBot="1">
      <c r="A41" s="22" t="s">
        <v>299</v>
      </c>
      <c r="B41" s="7">
        <v>95.3</v>
      </c>
      <c r="C41" s="23" t="s">
        <v>173</v>
      </c>
      <c r="D41" s="23" t="s">
        <v>300</v>
      </c>
    </row>
    <row r="42" spans="1:4" ht="13.8" thickBot="1">
      <c r="A42" s="22" t="s">
        <v>301</v>
      </c>
      <c r="B42" s="7">
        <v>2571.9</v>
      </c>
      <c r="C42" s="23" t="s">
        <v>173</v>
      </c>
      <c r="D42" s="23" t="s">
        <v>302</v>
      </c>
    </row>
    <row r="43" spans="1:4" ht="13.8" thickBot="1">
      <c r="A43" s="22" t="s">
        <v>303</v>
      </c>
      <c r="B43" s="7">
        <v>925.3</v>
      </c>
      <c r="C43" s="23" t="s">
        <v>173</v>
      </c>
      <c r="D43" s="23" t="s">
        <v>304</v>
      </c>
    </row>
    <row r="44" spans="1:4" ht="13.8" thickBot="1">
      <c r="A44" s="118" t="s">
        <v>305</v>
      </c>
      <c r="B44" s="119"/>
      <c r="C44" s="119"/>
      <c r="D44" s="120"/>
    </row>
    <row r="45" spans="1:4" ht="13.8" thickBot="1">
      <c r="A45" s="22" t="s">
        <v>306</v>
      </c>
      <c r="B45" s="7">
        <v>8.3000000000000007</v>
      </c>
      <c r="C45" s="23" t="s">
        <v>271</v>
      </c>
      <c r="D45" s="23" t="s">
        <v>307</v>
      </c>
    </row>
    <row r="46" spans="1:4" ht="13.8" thickBot="1">
      <c r="A46" s="118" t="s">
        <v>308</v>
      </c>
      <c r="B46" s="119"/>
      <c r="C46" s="119"/>
      <c r="D46" s="120"/>
    </row>
    <row r="47" spans="1:4" ht="13.8" thickBot="1">
      <c r="A47" s="22" t="s">
        <v>309</v>
      </c>
      <c r="B47" s="7">
        <v>156</v>
      </c>
      <c r="C47" s="23" t="s">
        <v>173</v>
      </c>
      <c r="D47" s="23" t="s">
        <v>310</v>
      </c>
    </row>
    <row r="48" spans="1:4" ht="13.8" thickBot="1">
      <c r="A48" s="22" t="s">
        <v>311</v>
      </c>
      <c r="B48" s="7">
        <v>4</v>
      </c>
      <c r="C48" s="23" t="s">
        <v>259</v>
      </c>
      <c r="D48" s="23" t="s">
        <v>312</v>
      </c>
    </row>
    <row r="49" spans="1:4" ht="13.8" thickBot="1">
      <c r="A49" s="22" t="s">
        <v>313</v>
      </c>
      <c r="B49" s="7">
        <v>0.86</v>
      </c>
      <c r="C49" s="23" t="s">
        <v>271</v>
      </c>
      <c r="D49" s="23" t="s">
        <v>314</v>
      </c>
    </row>
    <row r="50" spans="1:4" ht="13.8" thickBot="1">
      <c r="A50" s="118" t="s">
        <v>315</v>
      </c>
      <c r="B50" s="119"/>
      <c r="C50" s="119"/>
      <c r="D50" s="120"/>
    </row>
    <row r="51" spans="1:4" ht="13.8" thickBot="1">
      <c r="A51" s="22" t="s">
        <v>316</v>
      </c>
      <c r="B51" s="7">
        <v>1.1100000000000001</v>
      </c>
      <c r="C51" s="23" t="s">
        <v>271</v>
      </c>
      <c r="D51" s="23" t="s">
        <v>310</v>
      </c>
    </row>
    <row r="52" spans="1:4" ht="13.8" thickBot="1">
      <c r="A52" s="22" t="s">
        <v>317</v>
      </c>
      <c r="B52" s="7">
        <v>1.587</v>
      </c>
      <c r="C52" s="23" t="s">
        <v>271</v>
      </c>
      <c r="D52" s="23" t="s">
        <v>310</v>
      </c>
    </row>
  </sheetData>
  <mergeCells count="9">
    <mergeCell ref="A44:D44"/>
    <mergeCell ref="A46:D46"/>
    <mergeCell ref="A50:D50"/>
    <mergeCell ref="A2:D2"/>
    <mergeCell ref="A7:D7"/>
    <mergeCell ref="A12:D12"/>
    <mergeCell ref="A20:D20"/>
    <mergeCell ref="A30:D30"/>
    <mergeCell ref="A37:D3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46401-6828-1F49-B2C3-A6E5E28394B1}">
  <dimension ref="A1:H41"/>
  <sheetViews>
    <sheetView topLeftCell="A30" zoomScale="156" workbookViewId="0">
      <selection activeCell="F21" sqref="F21"/>
    </sheetView>
  </sheetViews>
  <sheetFormatPr defaultColWidth="11.44140625" defaultRowHeight="14.4"/>
  <cols>
    <col min="2" max="2" width="15" customWidth="1"/>
    <col min="5" max="5" width="18.109375" customWidth="1"/>
    <col min="6" max="6" width="13.44140625" customWidth="1"/>
    <col min="7" max="7" width="12.44140625" customWidth="1"/>
    <col min="8" max="8" width="14.109375" customWidth="1"/>
  </cols>
  <sheetData>
    <row r="1" spans="1:8">
      <c r="A1" s="1" t="s">
        <v>47</v>
      </c>
      <c r="B1" s="1" t="s">
        <v>75</v>
      </c>
      <c r="C1" s="1" t="s">
        <v>72</v>
      </c>
      <c r="D1" s="1" t="s">
        <v>73</v>
      </c>
      <c r="E1" s="1" t="s">
        <v>74</v>
      </c>
      <c r="F1" s="1" t="s">
        <v>77</v>
      </c>
      <c r="G1" s="1" t="s">
        <v>85</v>
      </c>
      <c r="H1" s="1"/>
    </row>
    <row r="2" spans="1:8">
      <c r="A2" s="2">
        <v>1985</v>
      </c>
      <c r="B2" s="3">
        <v>2.4640873650293922</v>
      </c>
      <c r="C2" s="3">
        <v>3.1848906560636179</v>
      </c>
      <c r="D2" s="3">
        <v>3.0544913612768263</v>
      </c>
      <c r="E2" s="3">
        <v>3.830563070147845</v>
      </c>
      <c r="F2" s="4">
        <f>(C2+D2+E2)/3</f>
        <v>3.3566483624960965</v>
      </c>
      <c r="G2" s="4">
        <f>AVERAGE(C2,E2)</f>
        <v>3.5077268631057317</v>
      </c>
      <c r="H2" s="4"/>
    </row>
    <row r="3" spans="1:8">
      <c r="A3" s="2">
        <f>+A2+1</f>
        <v>1986</v>
      </c>
      <c r="B3" s="3">
        <v>2.4153374351457169</v>
      </c>
      <c r="C3" s="3">
        <v>3.0852190659605192</v>
      </c>
      <c r="D3" s="3">
        <v>3.060656781305799</v>
      </c>
      <c r="E3" s="3">
        <v>3.7330962599632125</v>
      </c>
      <c r="F3" s="4">
        <f t="shared" ref="F3:F41" si="0">(C3+D3+E3)/3</f>
        <v>3.2929907024098433</v>
      </c>
      <c r="G3" s="4">
        <f t="shared" ref="G3:G41" si="1">AVERAGE(C3,E3)</f>
        <v>3.4091576629618658</v>
      </c>
      <c r="H3" s="4"/>
    </row>
    <row r="4" spans="1:8">
      <c r="A4" s="2">
        <f t="shared" ref="A4:A39" si="2">+A3+1</f>
        <v>1987</v>
      </c>
      <c r="B4" s="3">
        <v>2.3571109260226528</v>
      </c>
      <c r="C4" s="3">
        <v>2.9915966386554622</v>
      </c>
      <c r="D4" s="3">
        <v>2.9991875237732977</v>
      </c>
      <c r="E4" s="3">
        <v>3.6990765492102065</v>
      </c>
      <c r="F4" s="4">
        <f t="shared" si="0"/>
        <v>3.2299535705463218</v>
      </c>
      <c r="G4" s="4">
        <f t="shared" si="1"/>
        <v>3.3453365939328341</v>
      </c>
      <c r="H4" s="4"/>
    </row>
    <row r="5" spans="1:8">
      <c r="A5" s="2">
        <f t="shared" si="2"/>
        <v>1988</v>
      </c>
      <c r="B5" s="3">
        <v>2.2768416794316439</v>
      </c>
      <c r="C5" s="3">
        <v>2.8748317631224762</v>
      </c>
      <c r="D5" s="3">
        <v>2.8405735283521869</v>
      </c>
      <c r="E5" s="3">
        <v>3.5245615050651229</v>
      </c>
      <c r="F5" s="4">
        <f t="shared" si="0"/>
        <v>3.0799889321799285</v>
      </c>
      <c r="G5" s="4">
        <f t="shared" si="1"/>
        <v>3.1996966340937996</v>
      </c>
      <c r="H5" s="4"/>
    </row>
    <row r="6" spans="1:8">
      <c r="A6" s="2">
        <f t="shared" si="2"/>
        <v>1989</v>
      </c>
      <c r="B6" s="3">
        <v>2.1907944227707703</v>
      </c>
      <c r="C6" s="3">
        <v>2.7812500000000004</v>
      </c>
      <c r="D6" s="3">
        <v>2.749830508474576</v>
      </c>
      <c r="E6" s="3">
        <v>3.3126659412404789</v>
      </c>
      <c r="F6" s="4">
        <f t="shared" si="0"/>
        <v>2.9479154832383521</v>
      </c>
      <c r="G6" s="4">
        <f t="shared" si="1"/>
        <v>3.0469579706202397</v>
      </c>
      <c r="H6" s="4"/>
    </row>
    <row r="7" spans="1:8">
      <c r="A7" s="2">
        <f t="shared" si="2"/>
        <v>1990</v>
      </c>
      <c r="B7" s="3">
        <v>2.1115837130776787</v>
      </c>
      <c r="C7" s="3">
        <v>2.658921161825726</v>
      </c>
      <c r="D7" s="3">
        <v>2.7465737773442944</v>
      </c>
      <c r="E7" s="3">
        <v>3.2240826052422555</v>
      </c>
      <c r="F7" s="4">
        <f t="shared" si="0"/>
        <v>2.8765258481374256</v>
      </c>
      <c r="G7" s="4">
        <f t="shared" si="1"/>
        <v>2.9415018835339906</v>
      </c>
      <c r="H7" s="4"/>
    </row>
    <row r="8" spans="1:8">
      <c r="A8" s="2">
        <f t="shared" si="2"/>
        <v>1991</v>
      </c>
      <c r="B8" s="3">
        <v>2.0426378716949123</v>
      </c>
      <c r="C8" s="3">
        <v>2.5540055799123156</v>
      </c>
      <c r="D8" s="3">
        <v>2.7290820988508928</v>
      </c>
      <c r="E8" s="3">
        <v>3.1182024198194735</v>
      </c>
      <c r="F8" s="4">
        <f t="shared" si="0"/>
        <v>2.8004300328608935</v>
      </c>
      <c r="G8" s="4">
        <f t="shared" si="1"/>
        <v>2.8361039998658946</v>
      </c>
      <c r="H8" s="4"/>
    </row>
    <row r="9" spans="1:8">
      <c r="A9" s="2">
        <f t="shared" si="2"/>
        <v>1992</v>
      </c>
      <c r="B9" s="3">
        <v>1.9971771460468082</v>
      </c>
      <c r="C9" s="3">
        <v>2.4750869061413674</v>
      </c>
      <c r="D9" s="3">
        <v>2.6817440990408814</v>
      </c>
      <c r="E9" s="3">
        <v>2.9899601006690815</v>
      </c>
      <c r="F9" s="4">
        <f t="shared" si="0"/>
        <v>2.7155970352837766</v>
      </c>
      <c r="G9" s="4">
        <f t="shared" si="1"/>
        <v>2.7325235034052247</v>
      </c>
      <c r="H9" s="4"/>
    </row>
    <row r="10" spans="1:8">
      <c r="A10" s="2">
        <f t="shared" si="2"/>
        <v>1993</v>
      </c>
      <c r="B10" s="3">
        <v>1.9508957781585916</v>
      </c>
      <c r="C10" s="3">
        <v>2.3964098728496634</v>
      </c>
      <c r="D10" s="3">
        <v>2.5547122861586313</v>
      </c>
      <c r="E10" s="3">
        <v>2.8240630797773658</v>
      </c>
      <c r="F10" s="4">
        <f t="shared" si="0"/>
        <v>2.5917284129285534</v>
      </c>
      <c r="G10" s="4">
        <f t="shared" si="1"/>
        <v>2.6102364763135144</v>
      </c>
      <c r="H10" s="4"/>
    </row>
    <row r="11" spans="1:8">
      <c r="A11" s="2">
        <f t="shared" si="2"/>
        <v>1994</v>
      </c>
      <c r="B11" s="3">
        <v>1.9101281269066503</v>
      </c>
      <c r="C11" s="3">
        <v>2.3108546700324553</v>
      </c>
      <c r="D11" s="3">
        <v>2.454508778483377</v>
      </c>
      <c r="E11" s="3">
        <v>2.7417223910840929</v>
      </c>
      <c r="F11" s="4">
        <f t="shared" si="0"/>
        <v>2.5023619465333087</v>
      </c>
      <c r="G11" s="4">
        <f t="shared" si="1"/>
        <v>2.5262885305582738</v>
      </c>
      <c r="H11" s="4"/>
    </row>
    <row r="12" spans="1:8">
      <c r="A12" s="2">
        <f t="shared" si="2"/>
        <v>1995</v>
      </c>
      <c r="B12" s="3">
        <v>1.8708477437571429</v>
      </c>
      <c r="C12" s="3">
        <v>2.2707299787384829</v>
      </c>
      <c r="D12" s="3">
        <v>2.3662637296680873</v>
      </c>
      <c r="E12" s="3">
        <v>2.6948514522821578</v>
      </c>
      <c r="F12" s="4">
        <f t="shared" si="0"/>
        <v>2.4439483868962424</v>
      </c>
      <c r="G12" s="4">
        <f t="shared" si="1"/>
        <v>2.4827907155103204</v>
      </c>
      <c r="H12" s="4"/>
    </row>
    <row r="13" spans="1:8">
      <c r="A13" s="2">
        <f t="shared" si="2"/>
        <v>1996</v>
      </c>
      <c r="B13" s="3">
        <v>1.8372585194449842</v>
      </c>
      <c r="C13" s="3">
        <v>2.2150017283097134</v>
      </c>
      <c r="D13" s="3">
        <v>2.3528479350680356</v>
      </c>
      <c r="E13" s="3">
        <v>2.6375048732943469</v>
      </c>
      <c r="F13" s="4">
        <f t="shared" si="0"/>
        <v>2.4017848455573652</v>
      </c>
      <c r="G13" s="4">
        <f t="shared" si="1"/>
        <v>2.4262533008020304</v>
      </c>
      <c r="H13" s="4"/>
    </row>
    <row r="14" spans="1:8">
      <c r="A14" s="2">
        <f t="shared" si="2"/>
        <v>1997</v>
      </c>
      <c r="B14" s="3">
        <v>1.8060905872087571</v>
      </c>
      <c r="C14" s="3">
        <v>2.1583024587403168</v>
      </c>
      <c r="D14" s="3">
        <v>2.3124124582086929</v>
      </c>
      <c r="E14" s="3">
        <v>2.5759923845787722</v>
      </c>
      <c r="F14" s="4">
        <f t="shared" si="0"/>
        <v>2.3489024338425941</v>
      </c>
      <c r="G14" s="4">
        <f t="shared" si="1"/>
        <v>2.3671474216595447</v>
      </c>
      <c r="H14" s="4"/>
    </row>
    <row r="15" spans="1:8">
      <c r="A15" s="2">
        <f t="shared" si="2"/>
        <v>1998</v>
      </c>
      <c r="B15" s="3">
        <v>1.7860308563400971</v>
      </c>
      <c r="C15" s="3">
        <v>2.0934335184580197</v>
      </c>
      <c r="D15" s="3">
        <v>2.3237250972533303</v>
      </c>
      <c r="E15" s="3">
        <v>2.5206706685986338</v>
      </c>
      <c r="F15" s="4">
        <f t="shared" si="0"/>
        <v>2.3126097614366614</v>
      </c>
      <c r="G15" s="4">
        <f t="shared" si="1"/>
        <v>2.307052093528327</v>
      </c>
      <c r="H15" s="4"/>
    </row>
    <row r="16" spans="1:8">
      <c r="A16" s="2">
        <f t="shared" si="2"/>
        <v>1999</v>
      </c>
      <c r="B16" s="3">
        <v>1.761132948464627</v>
      </c>
      <c r="C16" s="3">
        <v>2.0240050536955145</v>
      </c>
      <c r="D16" s="3">
        <v>2.3013437627692488</v>
      </c>
      <c r="E16" s="3">
        <v>2.5047277214994601</v>
      </c>
      <c r="F16" s="4">
        <f t="shared" si="0"/>
        <v>2.2766921793214077</v>
      </c>
      <c r="G16" s="4">
        <f t="shared" si="1"/>
        <v>2.2643663875974873</v>
      </c>
      <c r="H16" s="4"/>
    </row>
    <row r="17" spans="1:8">
      <c r="A17" s="2">
        <f t="shared" si="2"/>
        <v>2000</v>
      </c>
      <c r="B17" s="3">
        <v>1.7221045683324623</v>
      </c>
      <c r="C17" s="3">
        <v>1.9301204819277109</v>
      </c>
      <c r="D17" s="3">
        <v>2.2792576747412845</v>
      </c>
      <c r="E17" s="3">
        <v>2.4782213177308572</v>
      </c>
      <c r="F17" s="4">
        <f t="shared" si="0"/>
        <v>2.2291998247999509</v>
      </c>
      <c r="G17" s="4">
        <f t="shared" si="1"/>
        <v>2.2041708998292839</v>
      </c>
      <c r="H17" s="4"/>
    </row>
    <row r="18" spans="1:8">
      <c r="A18" s="2">
        <f t="shared" si="2"/>
        <v>2001</v>
      </c>
      <c r="B18" s="3">
        <v>1.684088784889624</v>
      </c>
      <c r="C18" s="3">
        <v>1.8434982738780206</v>
      </c>
      <c r="D18" s="3">
        <v>2.3006722689075625</v>
      </c>
      <c r="E18" s="3">
        <v>2.3993616078025708</v>
      </c>
      <c r="F18" s="4">
        <f t="shared" si="0"/>
        <v>2.1811773835293846</v>
      </c>
      <c r="G18" s="4">
        <f t="shared" si="1"/>
        <v>2.1214299408402955</v>
      </c>
      <c r="H18" s="4"/>
    </row>
    <row r="19" spans="1:8">
      <c r="A19" s="2">
        <f t="shared" si="2"/>
        <v>2002</v>
      </c>
      <c r="B19" s="3">
        <v>1.6583469897866281</v>
      </c>
      <c r="C19" s="3">
        <v>1.7829716193656096</v>
      </c>
      <c r="D19" s="3">
        <v>2.2813679763902552</v>
      </c>
      <c r="E19" s="3">
        <v>2.377113854863111</v>
      </c>
      <c r="F19" s="4">
        <f t="shared" si="0"/>
        <v>2.1471511502063252</v>
      </c>
      <c r="G19" s="4">
        <f t="shared" si="1"/>
        <v>2.0800427371143604</v>
      </c>
      <c r="H19" s="4"/>
    </row>
    <row r="20" spans="1:8">
      <c r="A20" s="2">
        <f t="shared" si="2"/>
        <v>2003</v>
      </c>
      <c r="B20" s="3">
        <v>1.6263429426718916</v>
      </c>
      <c r="C20" s="3">
        <v>1.7216550241805479</v>
      </c>
      <c r="D20" s="3">
        <v>2.2332929247153457</v>
      </c>
      <c r="E20" s="3">
        <v>2.3371930329638695</v>
      </c>
      <c r="F20" s="4">
        <f t="shared" si="0"/>
        <v>2.0973803272865879</v>
      </c>
      <c r="G20" s="4">
        <f t="shared" si="1"/>
        <v>2.0294240285722087</v>
      </c>
      <c r="H20" s="4"/>
    </row>
    <row r="21" spans="1:8">
      <c r="A21" s="2">
        <f t="shared" si="2"/>
        <v>2004</v>
      </c>
      <c r="B21" s="3">
        <v>1.5837612242316934</v>
      </c>
      <c r="C21" s="3">
        <v>1.6722338204592901</v>
      </c>
      <c r="D21" s="3">
        <v>2.0345935903390617</v>
      </c>
      <c r="E21" s="3">
        <v>2.2507943255856935</v>
      </c>
      <c r="F21" s="4">
        <f t="shared" si="0"/>
        <v>1.9858739121280149</v>
      </c>
      <c r="G21" s="4">
        <f t="shared" si="1"/>
        <v>1.9615140730224918</v>
      </c>
      <c r="H21" s="4"/>
    </row>
    <row r="22" spans="1:8">
      <c r="A22" s="2">
        <f t="shared" si="2"/>
        <v>2005</v>
      </c>
      <c r="B22" s="3">
        <v>1.5355742554528593</v>
      </c>
      <c r="C22" s="3">
        <v>1.6185905531699925</v>
      </c>
      <c r="D22" s="3">
        <v>1.9375986631935911</v>
      </c>
      <c r="E22" s="3">
        <v>2.1630374350548425</v>
      </c>
      <c r="F22" s="4">
        <f t="shared" si="0"/>
        <v>1.9064088838061419</v>
      </c>
      <c r="G22" s="4">
        <f t="shared" si="1"/>
        <v>1.8908139941124174</v>
      </c>
      <c r="H22" s="4"/>
    </row>
    <row r="23" spans="1:8">
      <c r="A23" s="2">
        <f t="shared" si="2"/>
        <v>2006</v>
      </c>
      <c r="B23" s="3">
        <v>1.4895859353626186</v>
      </c>
      <c r="C23" s="3">
        <v>1.5659824046920821</v>
      </c>
      <c r="D23" s="3">
        <v>1.8227527856119099</v>
      </c>
      <c r="E23" s="3">
        <v>1.9965340000819771</v>
      </c>
      <c r="F23" s="4">
        <f t="shared" si="0"/>
        <v>1.7950897301286564</v>
      </c>
      <c r="G23" s="4">
        <f t="shared" si="1"/>
        <v>1.7812582023870296</v>
      </c>
      <c r="H23" s="4"/>
    </row>
    <row r="24" spans="1:8">
      <c r="A24" s="2">
        <f t="shared" si="2"/>
        <v>2007</v>
      </c>
      <c r="B24" s="3">
        <v>1.4503129867798552</v>
      </c>
      <c r="C24" s="3">
        <v>1.5070555032925683</v>
      </c>
      <c r="D24" s="3">
        <v>1.7935635321413947</v>
      </c>
      <c r="E24" s="3">
        <v>1.8326977199187298</v>
      </c>
      <c r="F24" s="4">
        <f t="shared" si="0"/>
        <v>1.7111055851175643</v>
      </c>
      <c r="G24" s="4">
        <f t="shared" si="1"/>
        <v>1.6698766116056492</v>
      </c>
      <c r="H24" s="4"/>
    </row>
    <row r="25" spans="1:8">
      <c r="A25" s="2">
        <f t="shared" si="2"/>
        <v>2008</v>
      </c>
      <c r="B25" s="3">
        <v>1.4227827247809353</v>
      </c>
      <c r="C25" s="3">
        <v>1.4550408719346049</v>
      </c>
      <c r="D25" s="3">
        <v>1.6724354133966828</v>
      </c>
      <c r="E25" s="3">
        <v>1.7873712021136066</v>
      </c>
      <c r="F25" s="4">
        <f t="shared" si="0"/>
        <v>1.6382824958149647</v>
      </c>
      <c r="G25" s="4">
        <f t="shared" si="1"/>
        <v>1.6212060370241057</v>
      </c>
      <c r="H25" s="4"/>
    </row>
    <row r="26" spans="1:8">
      <c r="A26" s="2">
        <f t="shared" si="2"/>
        <v>2009</v>
      </c>
      <c r="B26" s="3">
        <v>1.4141228216283055</v>
      </c>
      <c r="C26" s="3">
        <v>1.4393530997304582</v>
      </c>
      <c r="D26" s="3">
        <v>1.736677679397383</v>
      </c>
      <c r="E26" s="3">
        <v>1.7643233845262243</v>
      </c>
      <c r="F26" s="4">
        <f t="shared" si="0"/>
        <v>1.6467847212180218</v>
      </c>
      <c r="G26" s="4">
        <f t="shared" si="1"/>
        <v>1.6018382421283412</v>
      </c>
      <c r="H26" s="4"/>
    </row>
    <row r="27" spans="1:8">
      <c r="A27" s="2">
        <f t="shared" si="2"/>
        <v>2010</v>
      </c>
      <c r="B27" s="3">
        <v>1.3971895100330809</v>
      </c>
      <c r="C27" s="3">
        <v>1.4239999999999997</v>
      </c>
      <c r="D27" s="3">
        <v>1.6891311053984575</v>
      </c>
      <c r="E27" s="3">
        <v>1.775254756177564</v>
      </c>
      <c r="F27" s="4">
        <f t="shared" si="0"/>
        <v>1.6294619538586737</v>
      </c>
      <c r="G27" s="4">
        <f t="shared" si="1"/>
        <v>1.599627378088782</v>
      </c>
      <c r="H27" s="4"/>
    </row>
    <row r="28" spans="1:8">
      <c r="A28" s="2">
        <f t="shared" si="2"/>
        <v>2011</v>
      </c>
      <c r="B28" s="3">
        <v>1.3689374250163289</v>
      </c>
      <c r="C28" s="3">
        <v>1.408970976253298</v>
      </c>
      <c r="D28" s="3">
        <v>1.633491609695463</v>
      </c>
      <c r="E28" s="3">
        <v>1.7020560486407157</v>
      </c>
      <c r="F28" s="4">
        <f t="shared" si="0"/>
        <v>1.5815062115298257</v>
      </c>
      <c r="G28" s="4">
        <f t="shared" si="1"/>
        <v>1.555513512447007</v>
      </c>
      <c r="H28" s="4"/>
    </row>
    <row r="29" spans="1:8">
      <c r="A29" s="2">
        <f t="shared" si="2"/>
        <v>2012</v>
      </c>
      <c r="B29" s="3">
        <v>1.3438859883992338</v>
      </c>
      <c r="C29" s="3">
        <v>1.387012987012987</v>
      </c>
      <c r="D29" s="3">
        <v>1.5961909389044091</v>
      </c>
      <c r="E29" s="3">
        <v>1.591239750416517</v>
      </c>
      <c r="F29" s="4">
        <f t="shared" si="0"/>
        <v>1.5248145587779709</v>
      </c>
      <c r="G29" s="4">
        <f t="shared" si="1"/>
        <v>1.489126368714752</v>
      </c>
      <c r="H29" s="4"/>
    </row>
    <row r="30" spans="1:8">
      <c r="A30" s="2">
        <f t="shared" si="2"/>
        <v>2013</v>
      </c>
      <c r="B30" s="3">
        <v>1.3214269697601226</v>
      </c>
      <c r="C30" s="3">
        <v>1.3587786259541983</v>
      </c>
      <c r="D30" s="3">
        <v>1.5698769561581649</v>
      </c>
      <c r="E30" s="3">
        <v>1.5349290981281905</v>
      </c>
      <c r="F30" s="4">
        <f t="shared" si="0"/>
        <v>1.4878615600801846</v>
      </c>
      <c r="G30" s="4">
        <f t="shared" si="1"/>
        <v>1.4468538620411944</v>
      </c>
      <c r="H30" s="4"/>
    </row>
    <row r="31" spans="1:8">
      <c r="A31" s="2">
        <f t="shared" si="2"/>
        <v>2014</v>
      </c>
      <c r="B31" s="3">
        <v>1.298823334180353</v>
      </c>
      <c r="C31" s="3">
        <v>1.3394648829431437</v>
      </c>
      <c r="D31" s="3">
        <v>1.5319934716717183</v>
      </c>
      <c r="E31" s="3">
        <v>1.4777452824464534</v>
      </c>
      <c r="F31" s="4">
        <f t="shared" si="0"/>
        <v>1.4497345456871049</v>
      </c>
      <c r="G31" s="4">
        <f t="shared" si="1"/>
        <v>1.4086050826947987</v>
      </c>
      <c r="H31" s="4"/>
    </row>
    <row r="32" spans="1:8">
      <c r="A32" s="2">
        <f t="shared" si="2"/>
        <v>2015</v>
      </c>
      <c r="B32" s="3">
        <v>1.2868380354417892</v>
      </c>
      <c r="C32" s="3">
        <v>1.3120393120393119</v>
      </c>
      <c r="D32" s="3">
        <v>1.5385100487804879</v>
      </c>
      <c r="E32" s="3">
        <v>1.436644742663324</v>
      </c>
      <c r="F32" s="4">
        <f t="shared" si="0"/>
        <v>1.4290647011610413</v>
      </c>
      <c r="G32" s="4">
        <f t="shared" si="1"/>
        <v>1.3743420273513181</v>
      </c>
      <c r="H32" s="4"/>
    </row>
    <row r="33" spans="1:8">
      <c r="A33" s="2">
        <f t="shared" si="2"/>
        <v>2016</v>
      </c>
      <c r="B33" s="3">
        <v>1.274744179299709</v>
      </c>
      <c r="C33" s="3">
        <v>1.2846832397754611</v>
      </c>
      <c r="D33" s="3">
        <v>1.5359925195776676</v>
      </c>
      <c r="E33" s="3">
        <v>1.4153138075313807</v>
      </c>
      <c r="F33" s="4">
        <f t="shared" si="0"/>
        <v>1.4119965222948363</v>
      </c>
      <c r="G33" s="4">
        <f t="shared" si="1"/>
        <v>1.3499985236534209</v>
      </c>
      <c r="H33" s="4"/>
    </row>
    <row r="34" spans="1:8">
      <c r="A34" s="2">
        <f t="shared" si="2"/>
        <v>2017</v>
      </c>
      <c r="B34" s="3">
        <v>1.2523426171308565</v>
      </c>
      <c r="C34" s="3">
        <v>1.2535211267605633</v>
      </c>
      <c r="D34" s="3">
        <v>1.4822844681731022</v>
      </c>
      <c r="E34" s="3">
        <v>1.3824163473818647</v>
      </c>
      <c r="F34" s="4">
        <f t="shared" si="0"/>
        <v>1.3727406474385102</v>
      </c>
      <c r="G34" s="4">
        <f t="shared" si="1"/>
        <v>1.3179687370712139</v>
      </c>
      <c r="H34" s="4"/>
    </row>
    <row r="35" spans="1:8">
      <c r="A35" s="2">
        <f t="shared" si="2"/>
        <v>2018</v>
      </c>
      <c r="B35" s="3">
        <v>1.2242717236423715</v>
      </c>
      <c r="C35" s="3">
        <v>1.22010662604722</v>
      </c>
      <c r="D35" s="3">
        <v>1.3935779427359491</v>
      </c>
      <c r="E35" s="3">
        <v>1.3335552756940263</v>
      </c>
      <c r="F35" s="4">
        <f t="shared" si="0"/>
        <v>1.3157466148257317</v>
      </c>
      <c r="G35" s="4">
        <f t="shared" si="1"/>
        <v>1.276830950870623</v>
      </c>
      <c r="H35" s="4"/>
    </row>
    <row r="36" spans="1:8">
      <c r="A36" s="2">
        <f t="shared" si="2"/>
        <v>2019</v>
      </c>
      <c r="B36" s="3">
        <v>1.2040719685588259</v>
      </c>
      <c r="C36" s="3">
        <v>1.1831610044313146</v>
      </c>
      <c r="D36" s="3">
        <v>1.3937257397391027</v>
      </c>
      <c r="E36" s="3">
        <v>1.2999930609303689</v>
      </c>
      <c r="F36" s="4">
        <f t="shared" si="0"/>
        <v>1.2922932683669288</v>
      </c>
      <c r="G36" s="4">
        <f t="shared" si="1"/>
        <v>1.2415770326808417</v>
      </c>
      <c r="H36" s="4"/>
    </row>
    <row r="37" spans="1:8">
      <c r="A37" s="2">
        <f t="shared" si="2"/>
        <v>2020</v>
      </c>
      <c r="B37" s="3">
        <v>1.1885048307803276</v>
      </c>
      <c r="C37" s="3">
        <v>1.1508620689655173</v>
      </c>
      <c r="D37" s="3">
        <v>1.3735739669709428</v>
      </c>
      <c r="E37" s="3">
        <v>1.2821647802053173</v>
      </c>
      <c r="F37" s="4">
        <f t="shared" si="0"/>
        <v>1.268866938713926</v>
      </c>
      <c r="G37" s="4">
        <f t="shared" si="1"/>
        <v>1.2165134245854174</v>
      </c>
      <c r="H37" s="4"/>
    </row>
    <row r="38" spans="1:8">
      <c r="A38" s="2">
        <f t="shared" si="2"/>
        <v>2021</v>
      </c>
      <c r="B38" s="3">
        <v>1.1365223566675213</v>
      </c>
      <c r="C38" s="3">
        <v>1.117154811715481</v>
      </c>
      <c r="D38" s="3">
        <v>1.082802222385183</v>
      </c>
      <c r="E38" s="3">
        <v>1.2259396818661277</v>
      </c>
      <c r="F38" s="4">
        <f t="shared" si="0"/>
        <v>1.1419655719889306</v>
      </c>
      <c r="G38" s="4">
        <f t="shared" si="1"/>
        <v>1.1715472467908044</v>
      </c>
      <c r="H38" s="4"/>
    </row>
    <row r="39" spans="1:8">
      <c r="A39" s="2">
        <f t="shared" si="2"/>
        <v>2022</v>
      </c>
      <c r="B39" s="3">
        <v>1.0615668597319974</v>
      </c>
      <c r="C39" s="3">
        <v>1.0737265415549597</v>
      </c>
      <c r="D39" s="3">
        <v>0.96194440804811832</v>
      </c>
      <c r="E39" s="3">
        <v>1.0847449172179346</v>
      </c>
      <c r="F39" s="4">
        <f t="shared" si="0"/>
        <v>1.0401386222736708</v>
      </c>
      <c r="G39" s="4">
        <f t="shared" si="1"/>
        <v>1.0792357293864472</v>
      </c>
      <c r="H39" s="4"/>
    </row>
    <row r="40" spans="1:8">
      <c r="A40" s="2">
        <v>2023</v>
      </c>
      <c r="B40" s="3">
        <v>1.0242342452868769</v>
      </c>
      <c r="C40" s="3">
        <v>1.0295629820051415</v>
      </c>
      <c r="D40" s="3">
        <v>0.99021049839654707</v>
      </c>
      <c r="E40" s="3">
        <v>1.0049167421755469</v>
      </c>
      <c r="F40" s="4">
        <f t="shared" si="0"/>
        <v>1.0082300741924117</v>
      </c>
      <c r="G40" s="4">
        <f t="shared" si="1"/>
        <v>1.0172398620903442</v>
      </c>
      <c r="H40" s="4"/>
    </row>
    <row r="41" spans="1:8">
      <c r="A41" s="2">
        <v>2024</v>
      </c>
      <c r="B41" s="3">
        <v>1</v>
      </c>
      <c r="C41" s="3">
        <v>1</v>
      </c>
      <c r="D41" s="3">
        <v>1</v>
      </c>
      <c r="E41" s="3">
        <v>1</v>
      </c>
      <c r="F41" s="4">
        <f t="shared" si="0"/>
        <v>1</v>
      </c>
      <c r="G41" s="4">
        <f t="shared" si="1"/>
        <v>1</v>
      </c>
      <c r="H41" s="4"/>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8A137-1626-9343-A399-452BA3D3C6F7}">
  <dimension ref="A1:E17"/>
  <sheetViews>
    <sheetView zoomScale="164" workbookViewId="0">
      <selection activeCell="A11" sqref="A11"/>
    </sheetView>
  </sheetViews>
  <sheetFormatPr defaultColWidth="11.44140625" defaultRowHeight="14.4"/>
  <cols>
    <col min="1" max="1" width="27.44140625" customWidth="1"/>
    <col min="2" max="2" width="6.44140625" customWidth="1"/>
  </cols>
  <sheetData>
    <row r="1" spans="1:5" s="36" customFormat="1">
      <c r="A1" s="36" t="s">
        <v>380</v>
      </c>
      <c r="B1" s="36" t="s">
        <v>238</v>
      </c>
      <c r="C1" s="36" t="s">
        <v>530</v>
      </c>
      <c r="D1" s="36" t="s">
        <v>531</v>
      </c>
      <c r="E1" s="36" t="s">
        <v>62</v>
      </c>
    </row>
    <row r="2" spans="1:5">
      <c r="A2" t="s">
        <v>379</v>
      </c>
      <c r="B2" s="4">
        <v>6.5389932052543287E-2</v>
      </c>
    </row>
    <row r="3" spans="1:5">
      <c r="A3" t="s">
        <v>389</v>
      </c>
      <c r="B3">
        <v>5</v>
      </c>
    </row>
    <row r="4" spans="1:5">
      <c r="A4" t="s">
        <v>390</v>
      </c>
      <c r="B4">
        <v>5</v>
      </c>
    </row>
    <row r="5" spans="1:5">
      <c r="A5" t="s">
        <v>391</v>
      </c>
      <c r="B5">
        <v>5</v>
      </c>
    </row>
    <row r="6" spans="1:5">
      <c r="A6" t="s">
        <v>392</v>
      </c>
      <c r="B6">
        <v>1800</v>
      </c>
    </row>
    <row r="7" spans="1:5">
      <c r="A7" t="s">
        <v>384</v>
      </c>
      <c r="B7">
        <v>10</v>
      </c>
    </row>
    <row r="8" spans="1:5">
      <c r="A8" t="s">
        <v>393</v>
      </c>
      <c r="B8">
        <v>0.01</v>
      </c>
    </row>
    <row r="9" spans="1:5">
      <c r="A9" t="s">
        <v>468</v>
      </c>
      <c r="B9">
        <v>0.08</v>
      </c>
      <c r="C9" s="121" t="s">
        <v>532</v>
      </c>
      <c r="D9" s="121" t="s">
        <v>533</v>
      </c>
      <c r="E9" s="121" t="s">
        <v>534</v>
      </c>
    </row>
    <row r="10" spans="1:5" ht="15" customHeight="1">
      <c r="A10" s="5" t="s">
        <v>465</v>
      </c>
      <c r="B10">
        <v>0</v>
      </c>
      <c r="C10" s="121"/>
      <c r="D10" s="121"/>
      <c r="E10" s="121"/>
    </row>
    <row r="11" spans="1:5">
      <c r="A11" s="5" t="s">
        <v>466</v>
      </c>
      <c r="B11">
        <v>0</v>
      </c>
      <c r="C11" s="121"/>
      <c r="D11" s="121"/>
      <c r="E11" s="121"/>
    </row>
    <row r="12" spans="1:5">
      <c r="A12" s="5" t="s">
        <v>469</v>
      </c>
      <c r="B12">
        <v>0.18443169820109745</v>
      </c>
      <c r="C12" s="121"/>
      <c r="D12" s="121"/>
      <c r="E12" s="121"/>
    </row>
    <row r="13" spans="1:5">
      <c r="A13" s="5" t="s">
        <v>447</v>
      </c>
      <c r="B13">
        <v>0.24138000000000001</v>
      </c>
      <c r="C13" s="121"/>
      <c r="D13" s="121"/>
      <c r="E13" s="121"/>
    </row>
    <row r="14" spans="1:5">
      <c r="A14" s="5" t="s">
        <v>464</v>
      </c>
      <c r="B14" s="89">
        <v>0.22962848022115534</v>
      </c>
      <c r="C14" s="121"/>
      <c r="D14" s="121"/>
      <c r="E14" s="121"/>
    </row>
    <row r="15" spans="1:5">
      <c r="A15" s="5" t="s">
        <v>535</v>
      </c>
      <c r="B15">
        <v>0.41505377678599265</v>
      </c>
      <c r="C15" s="121"/>
      <c r="D15" s="121"/>
      <c r="E15" s="121"/>
    </row>
    <row r="16" spans="1:5">
      <c r="A16" s="5" t="s">
        <v>536</v>
      </c>
      <c r="B16">
        <v>0.39914905811401724</v>
      </c>
      <c r="C16" s="121"/>
      <c r="D16" s="121"/>
      <c r="E16" s="121"/>
    </row>
    <row r="17" spans="1:5">
      <c r="A17" s="5" t="s">
        <v>537</v>
      </c>
      <c r="B17">
        <v>0.05</v>
      </c>
      <c r="C17" s="121"/>
      <c r="D17" t="s">
        <v>538</v>
      </c>
      <c r="E17" t="s">
        <v>539</v>
      </c>
    </row>
  </sheetData>
  <mergeCells count="3">
    <mergeCell ref="C9:C17"/>
    <mergeCell ref="D9:D16"/>
    <mergeCell ref="E9:E1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Cost Database</vt:lpstr>
      <vt:lpstr>MARVEL_Cost</vt:lpstr>
      <vt:lpstr>Design Variables</vt:lpstr>
      <vt:lpstr>Inflation Adjustment</vt:lpstr>
      <vt:lpstr>Economics Parameters</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Paul RM Seurin</cp:lastModifiedBy>
  <dcterms:created xsi:type="dcterms:W3CDTF">2025-04-15T13:54:12Z</dcterms:created>
  <dcterms:modified xsi:type="dcterms:W3CDTF">2025-08-10T00:30:27Z</dcterms:modified>
</cp:coreProperties>
</file>